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snc-map\"/>
    </mc:Choice>
  </mc:AlternateContent>
  <xr:revisionPtr revIDLastSave="0" documentId="8_{19636760-E917-4E1B-8BAC-7C7A2D343F63}" xr6:coauthVersionLast="47" xr6:coauthVersionMax="47" xr10:uidLastSave="{00000000-0000-0000-0000-000000000000}"/>
  <bookViews>
    <workbookView xWindow="7395" yWindow="5565" windowWidth="24165" windowHeight="12645" xr2:uid="{BF49DF34-A845-46CC-AEC2-0603D100F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1" l="1"/>
  <c r="D103" i="1"/>
  <c r="F103" i="1" s="1"/>
  <c r="E66" i="1"/>
  <c r="D66" i="1"/>
  <c r="F66" i="1" s="1"/>
  <c r="E47" i="1"/>
  <c r="D47" i="1"/>
  <c r="F47" i="1" s="1"/>
  <c r="F4" i="1"/>
  <c r="E4" i="1"/>
  <c r="D4" i="1"/>
</calcChain>
</file>

<file path=xl/sharedStrings.xml><?xml version="1.0" encoding="utf-8"?>
<sst xmlns="http://schemas.openxmlformats.org/spreadsheetml/2006/main" count="710" uniqueCount="211">
  <si>
    <t>EUS Field Services – Global Coverage Model</t>
  </si>
  <si>
    <t>Coverage as of March 2026 |  On-Site = tech stationed at location  |  Near-Site = tech within 2-4 hrs travel  |  Remote = Global Service Desk support or overnight travel needed
*Industry Standard avg field tech to user ratio:  70 - 100  user per tech.    
 https://www.ninjaone.com/blog/it-staffing-ratio/
https://www.thinkhdi.com/~/media/HDICorp/Files/Library-Archive/Insider%20Articles/tickets-per-technician.pdf
https://www.happysignals.com/blog/forget-csat-scores-heres-what-end-users-really-think-of-it-support</t>
  </si>
  <si>
    <t>Location</t>
  </si>
  <si>
    <t>Country</t>
  </si>
  <si>
    <t>Region</t>
  </si>
  <si>
    <t>Users 
(Dec 2025)</t>
  </si>
  <si>
    <t>Field Techs</t>
  </si>
  <si>
    <t>Coverage Model / Ratio</t>
  </si>
  <si>
    <t>Assigned Tech(s)</t>
  </si>
  <si>
    <t>Onsite Manager</t>
  </si>
  <si>
    <t>Regional Director</t>
  </si>
  <si>
    <t>Notes</t>
  </si>
  <si>
    <t xml:space="preserve">  EMEA</t>
  </si>
  <si>
    <t>Essex - SS&amp;C House</t>
  </si>
  <si>
    <t>United Kingdom</t>
  </si>
  <si>
    <t>EMEA</t>
  </si>
  <si>
    <t>On-Site</t>
  </si>
  <si>
    <t>Alan Patten, Aaron Sims, Russell Chapman, Liam Rodway</t>
  </si>
  <si>
    <t>Alan Patten</t>
  </si>
  <si>
    <t>Ian Sparshott</t>
  </si>
  <si>
    <t>Stirling - Castle Business Park</t>
  </si>
  <si>
    <t>Brian McCaw, Derek McCloughey</t>
  </si>
  <si>
    <t>Brian McCaw</t>
  </si>
  <si>
    <t>London</t>
  </si>
  <si>
    <t>Ian Sparshott, David Chaudhary, Marlon McIntosh, Tim Cheung, (Calastone Missing)</t>
  </si>
  <si>
    <t>Marlon McIntosh</t>
  </si>
  <si>
    <t>Essex - Adams House</t>
  </si>
  <si>
    <t>Gregory Judd</t>
  </si>
  <si>
    <t>Bristol</t>
  </si>
  <si>
    <t>GIDS (Future Move to FS) - Samuel Peter</t>
  </si>
  <si>
    <t>Belfast - Beacon House</t>
  </si>
  <si>
    <t>(Support by UK hub)</t>
  </si>
  <si>
    <t>Surrey - DST House</t>
  </si>
  <si>
    <t>Ian Cleveland</t>
  </si>
  <si>
    <t>Bolton - New Marlborough House</t>
  </si>
  <si>
    <t>GIDS Hubwise (Future Move to FS) - Samuel Peter</t>
  </si>
  <si>
    <t>Burnley</t>
  </si>
  <si>
    <t>Lichfield</t>
  </si>
  <si>
    <t>Near-Site</t>
  </si>
  <si>
    <t>Warrington</t>
  </si>
  <si>
    <t>GSD Supplemented (Alex Losh)</t>
  </si>
  <si>
    <t>Russell Chapman</t>
  </si>
  <si>
    <t>Bracknell</t>
  </si>
  <si>
    <t>Southampton</t>
  </si>
  <si>
    <t>Ireland</t>
  </si>
  <si>
    <t>Alan Dowling, Zahoor Ahmad Khan, Michael Gosson</t>
  </si>
  <si>
    <t>Alan Dowling</t>
  </si>
  <si>
    <t>Ukraine</t>
  </si>
  <si>
    <t>Remote</t>
  </si>
  <si>
    <t>Romania</t>
  </si>
  <si>
    <t>Oana Cîndea</t>
  </si>
  <si>
    <t>Sweden</t>
  </si>
  <si>
    <t>Tahwid</t>
  </si>
  <si>
    <t>Portugal</t>
  </si>
  <si>
    <t>United Arab Emirates</t>
  </si>
  <si>
    <t>Imtiyaz Hussain</t>
  </si>
  <si>
    <t>Germany</t>
  </si>
  <si>
    <t>South Africa</t>
  </si>
  <si>
    <t>GIDS Curo (Future Move to FS)</t>
  </si>
  <si>
    <t>Luxembourg</t>
  </si>
  <si>
    <t>Alexandre Delatte</t>
  </si>
  <si>
    <t>France</t>
  </si>
  <si>
    <t>Spain</t>
  </si>
  <si>
    <t>Italy</t>
  </si>
  <si>
    <t>Austria</t>
  </si>
  <si>
    <t>Denmark</t>
  </si>
  <si>
    <t>Bulgaria</t>
  </si>
  <si>
    <t>Netherlands</t>
  </si>
  <si>
    <t>Remote Scotland</t>
  </si>
  <si>
    <t>Greece</t>
  </si>
  <si>
    <t>Norway</t>
  </si>
  <si>
    <t>Poland</t>
  </si>
  <si>
    <t>Israel</t>
  </si>
  <si>
    <t>Switzerland</t>
  </si>
  <si>
    <t>Estonia</t>
  </si>
  <si>
    <t>Jersey</t>
  </si>
  <si>
    <t>Türkiye</t>
  </si>
  <si>
    <t>Finland</t>
  </si>
  <si>
    <t>Saudi Arabia</t>
  </si>
  <si>
    <t>Remote Northern Ireland</t>
  </si>
  <si>
    <t>Hungary</t>
  </si>
  <si>
    <t xml:space="preserve">  APAC</t>
  </si>
  <si>
    <t>Australia - Melbourne</t>
  </si>
  <si>
    <t>Australia</t>
  </si>
  <si>
    <t>APAC</t>
  </si>
  <si>
    <t>Andy O'Toole, Ronnie Nahas, (2 Insignia open REQs)</t>
  </si>
  <si>
    <t>Andrew O'Toole</t>
  </si>
  <si>
    <t>New Insignia Site as well as existing SS&amp;C BUs</t>
  </si>
  <si>
    <t>Australia - Sydney</t>
  </si>
  <si>
    <t>Sam Hussain</t>
  </si>
  <si>
    <t>Brain Neroy</t>
  </si>
  <si>
    <t>Australia - Parramatta</t>
  </si>
  <si>
    <t>Brian Neroy, Arnaud Caillere</t>
  </si>
  <si>
    <t>New Insignia Site</t>
  </si>
  <si>
    <t>Australia - Newcastle West</t>
  </si>
  <si>
    <t>Luke Johnston (Newcastle)</t>
  </si>
  <si>
    <t>Luke Johnston</t>
  </si>
  <si>
    <t>Australia - All other</t>
  </si>
  <si>
    <t>(Support by Australia hub)</t>
  </si>
  <si>
    <t>Thailand</t>
  </si>
  <si>
    <t>Taweepong Panjasanontachai, Kasempong Thamrongsrisakul</t>
  </si>
  <si>
    <t>TaweePong P</t>
  </si>
  <si>
    <t>Singapore</t>
  </si>
  <si>
    <t>Aileen Respicio, Panda Ismail</t>
  </si>
  <si>
    <t>Aileen Respicio</t>
  </si>
  <si>
    <t>Hong Kong</t>
  </si>
  <si>
    <t>Joe Chan</t>
  </si>
  <si>
    <t>Japan</t>
  </si>
  <si>
    <t>Mie Kobayashi</t>
  </si>
  <si>
    <t>Pakistan</t>
  </si>
  <si>
    <t>Syed Asif Abbas</t>
  </si>
  <si>
    <t>Philippines</t>
  </si>
  <si>
    <t>(Support by Singapore Hub)</t>
  </si>
  <si>
    <t>China</t>
  </si>
  <si>
    <t>Jacky Yang</t>
  </si>
  <si>
    <t>Malaysia</t>
  </si>
  <si>
    <t>(Support by Thailand Hub)</t>
  </si>
  <si>
    <t>Taiwan</t>
  </si>
  <si>
    <t>(Support by Japan Hub)</t>
  </si>
  <si>
    <t>Korea</t>
  </si>
  <si>
    <t>Indonesia</t>
  </si>
  <si>
    <t>Vietnam</t>
  </si>
  <si>
    <t>New Zealand</t>
  </si>
  <si>
    <t xml:space="preserve">  Americas</t>
  </si>
  <si>
    <t>Kansas City</t>
  </si>
  <si>
    <t>USA</t>
  </si>
  <si>
    <t>Americas</t>
  </si>
  <si>
    <t>Matt Amezaga, Andy Herod, (1 Open REQ)</t>
  </si>
  <si>
    <t>Jeff Bates</t>
  </si>
  <si>
    <t>Christine Lopez ⚑</t>
  </si>
  <si>
    <t>Battea Org change pending Chrstine Lopez leads US non NY locations ⚑
Joe Barone leads Canada (IFDS)
Chris Bartlett leads NY and New Jersey (in addtion to leading Engineering)</t>
  </si>
  <si>
    <t>New York</t>
  </si>
  <si>
    <t xml:space="preserve"> Alfred Calderon, Christian Cresante, Igor Kochergin</t>
  </si>
  <si>
    <t>Igor Kochergin</t>
  </si>
  <si>
    <t>Chris Bartlett</t>
  </si>
  <si>
    <t>New Jersey</t>
  </si>
  <si>
    <t>Michael Ginch</t>
  </si>
  <si>
    <t>MA - Braintree, Boston, Waltham</t>
  </si>
  <si>
    <t>Jeff Bates, Sam Patel, (1 Open REQ)</t>
  </si>
  <si>
    <t>Jacksonville FL</t>
  </si>
  <si>
    <t>Michael Smith</t>
  </si>
  <si>
    <t>Greg Hill ⚑</t>
  </si>
  <si>
    <t>Mississauga</t>
  </si>
  <si>
    <t>Canada</t>
  </si>
  <si>
    <t>Joe Barone, Gurvinder Singh, Jatinder Singh, Collin Noel</t>
  </si>
  <si>
    <t>Joe Barone</t>
  </si>
  <si>
    <t>Chris May</t>
  </si>
  <si>
    <t>Toronto</t>
  </si>
  <si>
    <t>David Bachan</t>
  </si>
  <si>
    <t>Windsor CT</t>
  </si>
  <si>
    <t>Michael Gallagher, Rustam Mukhtasimov</t>
  </si>
  <si>
    <t>San Francisco</t>
  </si>
  <si>
    <t>Miguel Godoy</t>
  </si>
  <si>
    <t>Denver CO</t>
  </si>
  <si>
    <t>(Support by KC Hub)</t>
  </si>
  <si>
    <t>Chicago</t>
  </si>
  <si>
    <t>Zara Ali</t>
  </si>
  <si>
    <t>Dublin OH</t>
  </si>
  <si>
    <t>(Support by KC and MA Hubs)</t>
  </si>
  <si>
    <t>Evansville IN</t>
  </si>
  <si>
    <t>GSD Supplemented (Jen Stamp, Joe Greenwell)</t>
  </si>
  <si>
    <t>Dallas TX</t>
  </si>
  <si>
    <t>Stamford</t>
  </si>
  <si>
    <t>GlobeOp Battea (Transition to FS)</t>
  </si>
  <si>
    <t>Los Angeles</t>
  </si>
  <si>
    <t>(Support by San Francisco Hub)</t>
  </si>
  <si>
    <t>San Antonio</t>
  </si>
  <si>
    <t>Houston/Fort Worth TX</t>
  </si>
  <si>
    <t>Edina MN</t>
  </si>
  <si>
    <t>Newtown</t>
  </si>
  <si>
    <t>(Support by MA Hub)</t>
  </si>
  <si>
    <t>Kaysville UT</t>
  </si>
  <si>
    <t>Atlanta</t>
  </si>
  <si>
    <t>(Support by Jacksonville Hub)</t>
  </si>
  <si>
    <t>Halifax</t>
  </si>
  <si>
    <t>Palm Beach Gardens FL</t>
  </si>
  <si>
    <t>Coral Gables</t>
  </si>
  <si>
    <t>Sacramento</t>
  </si>
  <si>
    <t>Kitchener</t>
  </si>
  <si>
    <t>(Support by Mississauga Hub)</t>
  </si>
  <si>
    <t>Montreal</t>
  </si>
  <si>
    <t>Mexico</t>
  </si>
  <si>
    <t>Brazil</t>
  </si>
  <si>
    <t>Support by Business Contract IT</t>
  </si>
  <si>
    <t>Cayman Islands</t>
  </si>
  <si>
    <t>Chile</t>
  </si>
  <si>
    <t>Columbia</t>
  </si>
  <si>
    <t>Bermuda</t>
  </si>
  <si>
    <t>Argentina</t>
  </si>
  <si>
    <t xml:space="preserve">  India</t>
  </si>
  <si>
    <t>Mumbai  - Airoli</t>
  </si>
  <si>
    <t>India</t>
  </si>
  <si>
    <t>Vaibhav Bandal, Sushant Bhagwat, Ashish Ranshevare</t>
  </si>
  <si>
    <t>Ronak Majmudar</t>
  </si>
  <si>
    <t>Mumbai  - Malad (Goregaon NKP)</t>
  </si>
  <si>
    <t>Ronak Majmudar, Sandeep Saroj, Suchit Desai</t>
  </si>
  <si>
    <t>Hyderabad</t>
  </si>
  <si>
    <t>Salman Mohammed, Sandeep Akula,  Srikanth Valeti, Raju Daram</t>
  </si>
  <si>
    <t>Sandeep Akula</t>
  </si>
  <si>
    <t>Pune  - Commerzone</t>
  </si>
  <si>
    <t>Saddam Mulla</t>
  </si>
  <si>
    <t>Rahul Gala</t>
  </si>
  <si>
    <t>Gurgaon</t>
  </si>
  <si>
    <t>GSD Supplemented (Saurav Hasani)</t>
  </si>
  <si>
    <t>Thane  - Lodha iThink</t>
  </si>
  <si>
    <t>(Support by Mumbai and Pune Hubs)</t>
  </si>
  <si>
    <t>Mumbai  - WeWork BKC</t>
  </si>
  <si>
    <t>(Support by Malad Hub)</t>
  </si>
  <si>
    <t>Gujarat - GIFT City</t>
  </si>
  <si>
    <t>Bangalore - Insignia (New)</t>
  </si>
  <si>
    <t>GIDS Insignia (2 resources transferred to 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</si>
</sst>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i/>
      <sz val="11"/>
      <name val="Calibri"/>
      <family val="2"/>
    </font>
    <font>
      <sz val="10"/>
      <color rgb="FF000000"/>
      <name val="Aptos"/>
    </font>
    <font>
      <sz val="10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9.9978637043366805E-2"/>
        <bgColor rgb="FFD9E1F2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  <fill>
      <patternFill patternType="solid">
        <fgColor rgb="FFFFF2CC"/>
        <bgColor rgb="FFFFF2CC"/>
      </patternFill>
    </fill>
    <fill>
      <patternFill patternType="solid">
        <fgColor rgb="FF4B0082"/>
        <bgColor rgb="FF4B008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/>
    </xf>
    <xf numFmtId="0" fontId="5" fillId="4" borderId="4" xfId="1" applyNumberFormat="1" applyFont="1" applyFill="1" applyBorder="1" applyAlignment="1">
      <alignment horizontal="center" vertical="top"/>
    </xf>
    <xf numFmtId="0" fontId="5" fillId="4" borderId="4" xfId="0" applyFont="1" applyFill="1" applyBorder="1" applyAlignment="1">
      <alignment horizontal="center" vertical="center"/>
    </xf>
    <xf numFmtId="164" fontId="5" fillId="4" borderId="4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8" borderId="7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vertical="center"/>
    </xf>
    <xf numFmtId="0" fontId="5" fillId="12" borderId="11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8" borderId="7" xfId="0" applyFont="1" applyFill="1" applyBorder="1"/>
    <xf numFmtId="0" fontId="6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10" fillId="0" borderId="7" xfId="0" applyFont="1" applyBorder="1"/>
    <xf numFmtId="0" fontId="0" fillId="0" borderId="7" xfId="0" applyBorder="1"/>
    <xf numFmtId="0" fontId="0" fillId="8" borderId="7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4FCA-3CA7-4338-9CF3-9D950CC0E5DE}">
  <dimension ref="A1:J113"/>
  <sheetViews>
    <sheetView tabSelected="1" workbookViewId="0">
      <selection activeCell="A5" sqref="A5"/>
    </sheetView>
  </sheetViews>
  <sheetFormatPr defaultRowHeight="15" x14ac:dyDescent="0.25"/>
  <cols>
    <col min="1" max="1" width="27.85546875" bestFit="1" customWidth="1"/>
    <col min="4" max="4" width="11.42578125" customWidth="1"/>
    <col min="5" max="5" width="16.140625" customWidth="1"/>
    <col min="6" max="6" width="19" bestFit="1" customWidth="1"/>
    <col min="7" max="7" width="40.42578125" bestFit="1" customWidth="1"/>
    <col min="8" max="8" width="16.28515625" bestFit="1" customWidth="1"/>
    <col min="9" max="9" width="9" bestFit="1" customWidth="1"/>
    <col min="10" max="10" width="33.85546875" bestFit="1" customWidth="1"/>
  </cols>
  <sheetData>
    <row r="1" spans="1:10" ht="18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90.7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45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ht="15.75" x14ac:dyDescent="0.25">
      <c r="A4" s="5" t="s">
        <v>12</v>
      </c>
      <c r="B4" s="5"/>
      <c r="C4" s="5"/>
      <c r="D4" s="6">
        <f>SUM(D5:D46)</f>
        <v>5011</v>
      </c>
      <c r="E4" s="7">
        <f>SUM(E5:E46)</f>
        <v>19</v>
      </c>
      <c r="F4" s="8" t="str">
        <f>TEXT(D4/E4,"0") &amp; " users per tech"</f>
        <v>264 users per tech</v>
      </c>
      <c r="G4" s="5"/>
      <c r="H4" s="5"/>
      <c r="I4" s="5"/>
      <c r="J4" s="5"/>
    </row>
    <row r="5" spans="1:10" ht="120" x14ac:dyDescent="0.25">
      <c r="A5" s="9" t="s">
        <v>13</v>
      </c>
      <c r="B5" s="10" t="s">
        <v>14</v>
      </c>
      <c r="C5" s="10" t="s">
        <v>15</v>
      </c>
      <c r="D5" s="11">
        <v>1158</v>
      </c>
      <c r="E5" s="11">
        <v>4</v>
      </c>
      <c r="F5" s="10" t="s">
        <v>16</v>
      </c>
      <c r="G5" s="10" t="s">
        <v>17</v>
      </c>
      <c r="H5" s="10" t="s">
        <v>18</v>
      </c>
      <c r="I5" s="10" t="s">
        <v>19</v>
      </c>
      <c r="J5" s="10"/>
    </row>
    <row r="6" spans="1:10" ht="75" x14ac:dyDescent="0.25">
      <c r="A6" s="12" t="s">
        <v>20</v>
      </c>
      <c r="B6" s="13" t="s">
        <v>14</v>
      </c>
      <c r="C6" s="13" t="s">
        <v>15</v>
      </c>
      <c r="D6" s="14">
        <v>581</v>
      </c>
      <c r="E6" s="14">
        <v>2</v>
      </c>
      <c r="F6" s="13" t="s">
        <v>16</v>
      </c>
      <c r="G6" s="13" t="s">
        <v>21</v>
      </c>
      <c r="H6" s="13" t="s">
        <v>22</v>
      </c>
      <c r="I6" s="13" t="s">
        <v>19</v>
      </c>
      <c r="J6" s="13"/>
    </row>
    <row r="7" spans="1:10" ht="180" x14ac:dyDescent="0.25">
      <c r="A7" s="15" t="s">
        <v>23</v>
      </c>
      <c r="B7" s="16" t="s">
        <v>14</v>
      </c>
      <c r="C7" s="16" t="s">
        <v>15</v>
      </c>
      <c r="D7" s="17">
        <v>801</v>
      </c>
      <c r="E7" s="17">
        <v>4</v>
      </c>
      <c r="F7" s="16" t="s">
        <v>16</v>
      </c>
      <c r="G7" s="16" t="s">
        <v>24</v>
      </c>
      <c r="H7" s="16" t="s">
        <v>25</v>
      </c>
      <c r="I7" s="16" t="s">
        <v>19</v>
      </c>
      <c r="J7" s="16"/>
    </row>
    <row r="8" spans="1:10" ht="45" x14ac:dyDescent="0.25">
      <c r="A8" s="12" t="s">
        <v>26</v>
      </c>
      <c r="B8" s="13" t="s">
        <v>14</v>
      </c>
      <c r="C8" s="13" t="s">
        <v>15</v>
      </c>
      <c r="D8" s="14">
        <v>150</v>
      </c>
      <c r="E8" s="14">
        <v>1</v>
      </c>
      <c r="F8" s="13" t="s">
        <v>16</v>
      </c>
      <c r="G8" s="13" t="s">
        <v>27</v>
      </c>
      <c r="H8" s="13" t="s">
        <v>18</v>
      </c>
      <c r="I8" s="13" t="s">
        <v>19</v>
      </c>
      <c r="J8" s="13"/>
    </row>
    <row r="9" spans="1:10" ht="90" x14ac:dyDescent="0.25">
      <c r="A9" s="15" t="s">
        <v>28</v>
      </c>
      <c r="B9" s="16" t="s">
        <v>14</v>
      </c>
      <c r="C9" s="16" t="s">
        <v>15</v>
      </c>
      <c r="D9" s="17">
        <v>132</v>
      </c>
      <c r="E9" s="17">
        <v>0</v>
      </c>
      <c r="F9" s="16" t="s">
        <v>16</v>
      </c>
      <c r="G9" s="18" t="s">
        <v>29</v>
      </c>
      <c r="H9" s="16" t="s">
        <v>19</v>
      </c>
      <c r="I9" s="16" t="s">
        <v>19</v>
      </c>
      <c r="J9" s="16"/>
    </row>
    <row r="10" spans="1:10" ht="45" x14ac:dyDescent="0.25">
      <c r="A10" s="12" t="s">
        <v>30</v>
      </c>
      <c r="B10" s="13" t="s">
        <v>14</v>
      </c>
      <c r="C10" s="13" t="s">
        <v>15</v>
      </c>
      <c r="D10" s="14">
        <v>123</v>
      </c>
      <c r="E10" s="14">
        <v>0</v>
      </c>
      <c r="F10" s="13" t="s">
        <v>16</v>
      </c>
      <c r="G10" s="13" t="s">
        <v>31</v>
      </c>
      <c r="H10" s="13" t="s">
        <v>19</v>
      </c>
      <c r="I10" s="13" t="s">
        <v>19</v>
      </c>
      <c r="J10" s="13"/>
    </row>
    <row r="11" spans="1:10" ht="45" x14ac:dyDescent="0.25">
      <c r="A11" s="15" t="s">
        <v>32</v>
      </c>
      <c r="B11" s="16" t="s">
        <v>14</v>
      </c>
      <c r="C11" s="16" t="s">
        <v>15</v>
      </c>
      <c r="D11" s="17">
        <v>71</v>
      </c>
      <c r="E11" s="17">
        <v>1</v>
      </c>
      <c r="F11" s="16" t="s">
        <v>16</v>
      </c>
      <c r="G11" s="16" t="s">
        <v>33</v>
      </c>
      <c r="H11" s="16" t="s">
        <v>18</v>
      </c>
      <c r="I11" s="16" t="s">
        <v>19</v>
      </c>
      <c r="J11" s="16"/>
    </row>
    <row r="12" spans="1:10" ht="105" x14ac:dyDescent="0.25">
      <c r="A12" s="12" t="s">
        <v>34</v>
      </c>
      <c r="B12" s="13" t="s">
        <v>14</v>
      </c>
      <c r="C12" s="13" t="s">
        <v>15</v>
      </c>
      <c r="D12" s="14">
        <v>65</v>
      </c>
      <c r="E12" s="14">
        <v>0</v>
      </c>
      <c r="F12" s="13" t="s">
        <v>16</v>
      </c>
      <c r="G12" s="13" t="s">
        <v>35</v>
      </c>
      <c r="H12" s="13" t="s">
        <v>19</v>
      </c>
      <c r="I12" s="13" t="s">
        <v>19</v>
      </c>
      <c r="J12" s="13"/>
    </row>
    <row r="13" spans="1:10" ht="105" x14ac:dyDescent="0.25">
      <c r="A13" s="15" t="s">
        <v>36</v>
      </c>
      <c r="B13" s="16" t="s">
        <v>14</v>
      </c>
      <c r="C13" s="16" t="s">
        <v>15</v>
      </c>
      <c r="D13" s="17">
        <v>62</v>
      </c>
      <c r="E13" s="17">
        <v>0</v>
      </c>
      <c r="F13" s="16" t="s">
        <v>16</v>
      </c>
      <c r="G13" s="18" t="s">
        <v>35</v>
      </c>
      <c r="H13" s="16" t="s">
        <v>19</v>
      </c>
      <c r="I13" s="16" t="s">
        <v>19</v>
      </c>
      <c r="J13" s="16"/>
    </row>
    <row r="14" spans="1:10" ht="105" x14ac:dyDescent="0.25">
      <c r="A14" s="12" t="s">
        <v>37</v>
      </c>
      <c r="B14" s="13" t="s">
        <v>14</v>
      </c>
      <c r="C14" s="13" t="s">
        <v>15</v>
      </c>
      <c r="D14" s="14">
        <v>61</v>
      </c>
      <c r="E14" s="14">
        <v>0</v>
      </c>
      <c r="F14" s="13" t="s">
        <v>38</v>
      </c>
      <c r="G14" s="13" t="s">
        <v>35</v>
      </c>
      <c r="H14" s="13"/>
      <c r="I14" s="13" t="s">
        <v>19</v>
      </c>
      <c r="J14" s="13"/>
    </row>
    <row r="15" spans="1:10" ht="75" x14ac:dyDescent="0.25">
      <c r="A15" s="15" t="s">
        <v>39</v>
      </c>
      <c r="B15" s="16" t="s">
        <v>14</v>
      </c>
      <c r="C15" s="16" t="s">
        <v>15</v>
      </c>
      <c r="D15" s="17">
        <v>15</v>
      </c>
      <c r="E15" s="17">
        <v>0</v>
      </c>
      <c r="F15" s="16" t="s">
        <v>38</v>
      </c>
      <c r="G15" s="16" t="s">
        <v>40</v>
      </c>
      <c r="H15" s="16" t="s">
        <v>41</v>
      </c>
      <c r="I15" s="16" t="s">
        <v>19</v>
      </c>
      <c r="J15" s="16"/>
    </row>
    <row r="16" spans="1:10" ht="45" x14ac:dyDescent="0.25">
      <c r="A16" s="12" t="s">
        <v>42</v>
      </c>
      <c r="B16" s="13" t="s">
        <v>14</v>
      </c>
      <c r="C16" s="13" t="s">
        <v>15</v>
      </c>
      <c r="D16" s="14">
        <v>15</v>
      </c>
      <c r="E16" s="14">
        <v>0</v>
      </c>
      <c r="F16" s="13" t="s">
        <v>38</v>
      </c>
      <c r="G16" s="13" t="s">
        <v>31</v>
      </c>
      <c r="H16" s="13"/>
      <c r="I16" s="13" t="s">
        <v>19</v>
      </c>
      <c r="J16" s="13"/>
    </row>
    <row r="17" spans="1:10" ht="45" x14ac:dyDescent="0.25">
      <c r="A17" s="15" t="s">
        <v>43</v>
      </c>
      <c r="B17" s="16" t="s">
        <v>14</v>
      </c>
      <c r="C17" s="16" t="s">
        <v>15</v>
      </c>
      <c r="D17" s="17">
        <v>3</v>
      </c>
      <c r="E17" s="17">
        <v>0</v>
      </c>
      <c r="F17" s="16" t="s">
        <v>38</v>
      </c>
      <c r="G17" s="16" t="s">
        <v>31</v>
      </c>
      <c r="H17" s="16"/>
      <c r="I17" s="16" t="s">
        <v>19</v>
      </c>
      <c r="J17" s="16"/>
    </row>
    <row r="18" spans="1:10" ht="105" x14ac:dyDescent="0.25">
      <c r="A18" s="12" t="s">
        <v>44</v>
      </c>
      <c r="B18" s="13" t="s">
        <v>44</v>
      </c>
      <c r="C18" s="13" t="s">
        <v>15</v>
      </c>
      <c r="D18" s="14">
        <v>559</v>
      </c>
      <c r="E18" s="14">
        <v>3</v>
      </c>
      <c r="F18" s="19" t="s">
        <v>16</v>
      </c>
      <c r="G18" s="20" t="s">
        <v>45</v>
      </c>
      <c r="H18" s="13" t="s">
        <v>46</v>
      </c>
      <c r="I18" s="13" t="s">
        <v>19</v>
      </c>
      <c r="J18" s="13"/>
    </row>
    <row r="19" spans="1:10" ht="45" x14ac:dyDescent="0.25">
      <c r="A19" s="15" t="s">
        <v>47</v>
      </c>
      <c r="B19" s="16" t="s">
        <v>47</v>
      </c>
      <c r="C19" s="16" t="s">
        <v>15</v>
      </c>
      <c r="D19" s="17">
        <v>77</v>
      </c>
      <c r="E19" s="17">
        <v>0</v>
      </c>
      <c r="F19" s="16" t="s">
        <v>48</v>
      </c>
      <c r="G19" s="21" t="s">
        <v>31</v>
      </c>
      <c r="H19" s="16"/>
      <c r="I19" s="16" t="s">
        <v>19</v>
      </c>
      <c r="J19" s="16"/>
    </row>
    <row r="20" spans="1:10" ht="45" x14ac:dyDescent="0.25">
      <c r="A20" s="12" t="s">
        <v>49</v>
      </c>
      <c r="B20" s="13" t="s">
        <v>49</v>
      </c>
      <c r="C20" s="13" t="s">
        <v>15</v>
      </c>
      <c r="D20" s="22">
        <v>120</v>
      </c>
      <c r="E20" s="14">
        <v>1</v>
      </c>
      <c r="F20" s="13" t="s">
        <v>48</v>
      </c>
      <c r="G20" s="20" t="s">
        <v>50</v>
      </c>
      <c r="H20" s="13" t="s">
        <v>50</v>
      </c>
      <c r="I20" s="13" t="s">
        <v>19</v>
      </c>
      <c r="J20" s="13"/>
    </row>
    <row r="21" spans="1:10" ht="45" x14ac:dyDescent="0.25">
      <c r="A21" s="15" t="s">
        <v>51</v>
      </c>
      <c r="B21" s="16" t="s">
        <v>51</v>
      </c>
      <c r="C21" s="16" t="s">
        <v>15</v>
      </c>
      <c r="D21" s="17">
        <v>56</v>
      </c>
      <c r="E21" s="17">
        <v>1</v>
      </c>
      <c r="F21" s="16" t="s">
        <v>48</v>
      </c>
      <c r="G21" s="16" t="s">
        <v>52</v>
      </c>
      <c r="H21" s="16"/>
      <c r="I21" s="16" t="s">
        <v>19</v>
      </c>
      <c r="J21" s="16"/>
    </row>
    <row r="22" spans="1:10" ht="45" x14ac:dyDescent="0.25">
      <c r="A22" s="12" t="s">
        <v>53</v>
      </c>
      <c r="B22" s="13" t="s">
        <v>53</v>
      </c>
      <c r="C22" s="13" t="s">
        <v>15</v>
      </c>
      <c r="D22" s="14">
        <v>51</v>
      </c>
      <c r="E22" s="14">
        <v>0</v>
      </c>
      <c r="F22" s="13" t="s">
        <v>48</v>
      </c>
      <c r="G22" s="23" t="s">
        <v>31</v>
      </c>
      <c r="H22" s="13"/>
      <c r="I22" s="13" t="s">
        <v>19</v>
      </c>
      <c r="J22" s="13"/>
    </row>
    <row r="23" spans="1:10" ht="45" x14ac:dyDescent="0.25">
      <c r="A23" s="15" t="s">
        <v>54</v>
      </c>
      <c r="B23" s="16" t="s">
        <v>54</v>
      </c>
      <c r="C23" s="16" t="s">
        <v>15</v>
      </c>
      <c r="D23" s="17">
        <v>60</v>
      </c>
      <c r="E23" s="17">
        <v>1</v>
      </c>
      <c r="F23" s="16" t="s">
        <v>16</v>
      </c>
      <c r="G23" s="16" t="s">
        <v>55</v>
      </c>
      <c r="H23" s="16"/>
      <c r="I23" s="16" t="s">
        <v>19</v>
      </c>
      <c r="J23" s="16"/>
    </row>
    <row r="24" spans="1:10" ht="45" x14ac:dyDescent="0.25">
      <c r="A24" s="12" t="s">
        <v>56</v>
      </c>
      <c r="B24" s="13" t="s">
        <v>56</v>
      </c>
      <c r="C24" s="13" t="s">
        <v>15</v>
      </c>
      <c r="D24" s="14">
        <v>54</v>
      </c>
      <c r="E24" s="14">
        <v>0</v>
      </c>
      <c r="F24" s="13" t="s">
        <v>48</v>
      </c>
      <c r="G24" s="23" t="s">
        <v>31</v>
      </c>
      <c r="H24" s="13"/>
      <c r="I24" s="13" t="s">
        <v>19</v>
      </c>
      <c r="J24" s="13"/>
    </row>
    <row r="25" spans="1:10" ht="75" x14ac:dyDescent="0.25">
      <c r="A25" s="15" t="s">
        <v>57</v>
      </c>
      <c r="B25" s="16" t="s">
        <v>57</v>
      </c>
      <c r="C25" s="16" t="s">
        <v>15</v>
      </c>
      <c r="D25" s="17">
        <v>351</v>
      </c>
      <c r="E25" s="17">
        <v>0</v>
      </c>
      <c r="F25" s="16" t="s">
        <v>48</v>
      </c>
      <c r="G25" s="24" t="s">
        <v>58</v>
      </c>
      <c r="H25" s="16"/>
      <c r="I25" s="16" t="s">
        <v>19</v>
      </c>
      <c r="J25" s="16"/>
    </row>
    <row r="26" spans="1:10" ht="45" x14ac:dyDescent="0.25">
      <c r="A26" s="12" t="s">
        <v>59</v>
      </c>
      <c r="B26" s="13" t="s">
        <v>59</v>
      </c>
      <c r="C26" s="13" t="s">
        <v>15</v>
      </c>
      <c r="D26" s="22">
        <v>179</v>
      </c>
      <c r="E26" s="22">
        <v>1</v>
      </c>
      <c r="F26" s="19" t="s">
        <v>16</v>
      </c>
      <c r="G26" s="20" t="s">
        <v>60</v>
      </c>
      <c r="H26" s="13"/>
      <c r="I26" s="13" t="s">
        <v>19</v>
      </c>
      <c r="J26" s="13"/>
    </row>
    <row r="27" spans="1:10" ht="45" x14ac:dyDescent="0.25">
      <c r="A27" s="15" t="s">
        <v>61</v>
      </c>
      <c r="B27" s="16" t="s">
        <v>61</v>
      </c>
      <c r="C27" s="16" t="s">
        <v>15</v>
      </c>
      <c r="D27" s="17">
        <v>43</v>
      </c>
      <c r="E27" s="17">
        <v>0</v>
      </c>
      <c r="F27" s="16" t="s">
        <v>48</v>
      </c>
      <c r="G27" s="21" t="s">
        <v>31</v>
      </c>
      <c r="H27" s="16"/>
      <c r="I27" s="16" t="s">
        <v>19</v>
      </c>
      <c r="J27" s="16"/>
    </row>
    <row r="28" spans="1:10" ht="45" x14ac:dyDescent="0.25">
      <c r="A28" s="12" t="s">
        <v>62</v>
      </c>
      <c r="B28" s="13" t="s">
        <v>62</v>
      </c>
      <c r="C28" s="13" t="s">
        <v>15</v>
      </c>
      <c r="D28" s="14">
        <v>47</v>
      </c>
      <c r="E28" s="14">
        <v>0</v>
      </c>
      <c r="F28" s="13" t="s">
        <v>48</v>
      </c>
      <c r="G28" s="23" t="s">
        <v>31</v>
      </c>
      <c r="H28" s="13"/>
      <c r="I28" s="13" t="s">
        <v>19</v>
      </c>
      <c r="J28" s="13"/>
    </row>
    <row r="29" spans="1:10" ht="45" x14ac:dyDescent="0.25">
      <c r="A29" s="15" t="s">
        <v>63</v>
      </c>
      <c r="B29" s="16" t="s">
        <v>63</v>
      </c>
      <c r="C29" s="16" t="s">
        <v>15</v>
      </c>
      <c r="D29" s="17">
        <v>27</v>
      </c>
      <c r="E29" s="17">
        <v>0</v>
      </c>
      <c r="F29" s="16" t="s">
        <v>48</v>
      </c>
      <c r="G29" s="21" t="s">
        <v>31</v>
      </c>
      <c r="H29" s="16"/>
      <c r="I29" s="16" t="s">
        <v>19</v>
      </c>
      <c r="J29" s="16"/>
    </row>
    <row r="30" spans="1:10" ht="45" x14ac:dyDescent="0.25">
      <c r="A30" s="12" t="s">
        <v>64</v>
      </c>
      <c r="B30" s="13" t="s">
        <v>64</v>
      </c>
      <c r="C30" s="13" t="s">
        <v>15</v>
      </c>
      <c r="D30" s="14">
        <v>25</v>
      </c>
      <c r="E30" s="14">
        <v>0</v>
      </c>
      <c r="F30" s="13" t="s">
        <v>48</v>
      </c>
      <c r="G30" s="23" t="s">
        <v>31</v>
      </c>
      <c r="H30" s="13"/>
      <c r="I30" s="13" t="s">
        <v>19</v>
      </c>
      <c r="J30" s="13"/>
    </row>
    <row r="31" spans="1:10" ht="45" x14ac:dyDescent="0.25">
      <c r="A31" s="15" t="s">
        <v>65</v>
      </c>
      <c r="B31" s="16" t="s">
        <v>65</v>
      </c>
      <c r="C31" s="16" t="s">
        <v>15</v>
      </c>
      <c r="D31" s="17">
        <v>16</v>
      </c>
      <c r="E31" s="17">
        <v>0</v>
      </c>
      <c r="F31" s="16" t="s">
        <v>48</v>
      </c>
      <c r="G31" s="21" t="s">
        <v>31</v>
      </c>
      <c r="H31" s="16"/>
      <c r="I31" s="16" t="s">
        <v>19</v>
      </c>
      <c r="J31" s="16"/>
    </row>
    <row r="32" spans="1:10" ht="45" x14ac:dyDescent="0.25">
      <c r="A32" s="12" t="s">
        <v>66</v>
      </c>
      <c r="B32" s="13" t="s">
        <v>66</v>
      </c>
      <c r="C32" s="13" t="s">
        <v>15</v>
      </c>
      <c r="D32" s="14">
        <v>19</v>
      </c>
      <c r="E32" s="14">
        <v>0</v>
      </c>
      <c r="F32" s="13" t="s">
        <v>48</v>
      </c>
      <c r="G32" s="23" t="s">
        <v>31</v>
      </c>
      <c r="H32" s="13"/>
      <c r="I32" s="13" t="s">
        <v>19</v>
      </c>
      <c r="J32" s="13"/>
    </row>
    <row r="33" spans="1:10" ht="45" x14ac:dyDescent="0.25">
      <c r="A33" s="15" t="s">
        <v>67</v>
      </c>
      <c r="B33" s="16" t="s">
        <v>67</v>
      </c>
      <c r="C33" s="16" t="s">
        <v>15</v>
      </c>
      <c r="D33" s="17">
        <v>7</v>
      </c>
      <c r="E33" s="17">
        <v>0</v>
      </c>
      <c r="F33" s="16" t="s">
        <v>48</v>
      </c>
      <c r="G33" s="21" t="s">
        <v>31</v>
      </c>
      <c r="H33" s="16"/>
      <c r="I33" s="16" t="s">
        <v>19</v>
      </c>
      <c r="J33" s="16"/>
    </row>
    <row r="34" spans="1:10" ht="45" x14ac:dyDescent="0.25">
      <c r="A34" s="12" t="s">
        <v>68</v>
      </c>
      <c r="B34" s="13" t="s">
        <v>14</v>
      </c>
      <c r="C34" s="13" t="s">
        <v>15</v>
      </c>
      <c r="D34" s="14">
        <v>10</v>
      </c>
      <c r="E34" s="14">
        <v>0</v>
      </c>
      <c r="F34" s="13" t="s">
        <v>48</v>
      </c>
      <c r="G34" s="23" t="s">
        <v>31</v>
      </c>
      <c r="H34" s="13"/>
      <c r="I34" s="13" t="s">
        <v>19</v>
      </c>
      <c r="J34" s="13"/>
    </row>
    <row r="35" spans="1:10" ht="45" x14ac:dyDescent="0.25">
      <c r="A35" s="15" t="s">
        <v>69</v>
      </c>
      <c r="B35" s="16" t="s">
        <v>69</v>
      </c>
      <c r="C35" s="16" t="s">
        <v>15</v>
      </c>
      <c r="D35" s="17">
        <v>8</v>
      </c>
      <c r="E35" s="17">
        <v>0</v>
      </c>
      <c r="F35" s="16" t="s">
        <v>48</v>
      </c>
      <c r="G35" s="21" t="s">
        <v>31</v>
      </c>
      <c r="H35" s="16"/>
      <c r="I35" s="16" t="s">
        <v>19</v>
      </c>
      <c r="J35" s="16"/>
    </row>
    <row r="36" spans="1:10" ht="45" x14ac:dyDescent="0.25">
      <c r="A36" s="12" t="s">
        <v>70</v>
      </c>
      <c r="B36" s="13" t="s">
        <v>70</v>
      </c>
      <c r="C36" s="13" t="s">
        <v>15</v>
      </c>
      <c r="D36" s="14">
        <v>8</v>
      </c>
      <c r="E36" s="14">
        <v>0</v>
      </c>
      <c r="F36" s="13" t="s">
        <v>48</v>
      </c>
      <c r="G36" s="23" t="s">
        <v>31</v>
      </c>
      <c r="H36" s="13"/>
      <c r="I36" s="13" t="s">
        <v>19</v>
      </c>
      <c r="J36" s="13"/>
    </row>
    <row r="37" spans="1:10" ht="45" x14ac:dyDescent="0.25">
      <c r="A37" s="15" t="s">
        <v>71</v>
      </c>
      <c r="B37" s="16" t="s">
        <v>71</v>
      </c>
      <c r="C37" s="16" t="s">
        <v>15</v>
      </c>
      <c r="D37" s="17">
        <v>17</v>
      </c>
      <c r="E37" s="17">
        <v>0</v>
      </c>
      <c r="F37" s="16" t="s">
        <v>48</v>
      </c>
      <c r="G37" s="21" t="s">
        <v>31</v>
      </c>
      <c r="H37" s="16"/>
      <c r="I37" s="16" t="s">
        <v>19</v>
      </c>
      <c r="J37" s="16"/>
    </row>
    <row r="38" spans="1:10" ht="45" x14ac:dyDescent="0.25">
      <c r="A38" s="12" t="s">
        <v>72</v>
      </c>
      <c r="B38" s="13" t="s">
        <v>72</v>
      </c>
      <c r="C38" s="13" t="s">
        <v>15</v>
      </c>
      <c r="D38" s="14">
        <v>6</v>
      </c>
      <c r="E38" s="14">
        <v>0</v>
      </c>
      <c r="F38" s="13" t="s">
        <v>48</v>
      </c>
      <c r="G38" s="23" t="s">
        <v>31</v>
      </c>
      <c r="H38" s="13"/>
      <c r="I38" s="13" t="s">
        <v>19</v>
      </c>
      <c r="J38" s="13"/>
    </row>
    <row r="39" spans="1:10" ht="45" x14ac:dyDescent="0.25">
      <c r="A39" s="15" t="s">
        <v>73</v>
      </c>
      <c r="B39" s="16" t="s">
        <v>73</v>
      </c>
      <c r="C39" s="16" t="s">
        <v>15</v>
      </c>
      <c r="D39" s="17">
        <v>7</v>
      </c>
      <c r="E39" s="17">
        <v>0</v>
      </c>
      <c r="F39" s="16" t="s">
        <v>48</v>
      </c>
      <c r="G39" s="21" t="s">
        <v>31</v>
      </c>
      <c r="H39" s="16"/>
      <c r="I39" s="16" t="s">
        <v>19</v>
      </c>
      <c r="J39" s="16"/>
    </row>
    <row r="40" spans="1:10" ht="45" x14ac:dyDescent="0.25">
      <c r="A40" s="12" t="s">
        <v>74</v>
      </c>
      <c r="B40" s="13" t="s">
        <v>74</v>
      </c>
      <c r="C40" s="13" t="s">
        <v>15</v>
      </c>
      <c r="D40" s="14">
        <v>7</v>
      </c>
      <c r="E40" s="14">
        <v>0</v>
      </c>
      <c r="F40" s="13" t="s">
        <v>48</v>
      </c>
      <c r="G40" s="23" t="s">
        <v>31</v>
      </c>
      <c r="H40" s="13"/>
      <c r="I40" s="13" t="s">
        <v>19</v>
      </c>
      <c r="J40" s="13"/>
    </row>
    <row r="41" spans="1:10" ht="45" x14ac:dyDescent="0.25">
      <c r="A41" s="15" t="s">
        <v>75</v>
      </c>
      <c r="B41" s="16" t="s">
        <v>75</v>
      </c>
      <c r="C41" s="16" t="s">
        <v>15</v>
      </c>
      <c r="D41" s="17">
        <v>4</v>
      </c>
      <c r="E41" s="17">
        <v>0</v>
      </c>
      <c r="F41" s="16" t="s">
        <v>48</v>
      </c>
      <c r="G41" s="21" t="s">
        <v>31</v>
      </c>
      <c r="H41" s="16"/>
      <c r="I41" s="16" t="s">
        <v>19</v>
      </c>
      <c r="J41" s="16"/>
    </row>
    <row r="42" spans="1:10" ht="45" x14ac:dyDescent="0.25">
      <c r="A42" s="12" t="s">
        <v>76</v>
      </c>
      <c r="B42" s="13" t="s">
        <v>76</v>
      </c>
      <c r="C42" s="13" t="s">
        <v>15</v>
      </c>
      <c r="D42" s="14">
        <v>5</v>
      </c>
      <c r="E42" s="14">
        <v>0</v>
      </c>
      <c r="F42" s="13" t="s">
        <v>48</v>
      </c>
      <c r="G42" s="23" t="s">
        <v>31</v>
      </c>
      <c r="H42" s="13"/>
      <c r="I42" s="13" t="s">
        <v>19</v>
      </c>
      <c r="J42" s="13"/>
    </row>
    <row r="43" spans="1:10" ht="45" x14ac:dyDescent="0.25">
      <c r="A43" s="15" t="s">
        <v>77</v>
      </c>
      <c r="B43" s="16" t="s">
        <v>77</v>
      </c>
      <c r="C43" s="16" t="s">
        <v>15</v>
      </c>
      <c r="D43" s="17">
        <v>1</v>
      </c>
      <c r="E43" s="17">
        <v>0</v>
      </c>
      <c r="F43" s="16" t="s">
        <v>48</v>
      </c>
      <c r="G43" s="21" t="s">
        <v>31</v>
      </c>
      <c r="H43" s="16"/>
      <c r="I43" s="16" t="s">
        <v>19</v>
      </c>
      <c r="J43" s="16"/>
    </row>
    <row r="44" spans="1:10" ht="45" x14ac:dyDescent="0.25">
      <c r="A44" s="12" t="s">
        <v>78</v>
      </c>
      <c r="B44" s="13" t="s">
        <v>78</v>
      </c>
      <c r="C44" s="13" t="s">
        <v>15</v>
      </c>
      <c r="D44" s="14">
        <v>5</v>
      </c>
      <c r="E44" s="14">
        <v>0</v>
      </c>
      <c r="F44" s="13" t="s">
        <v>48</v>
      </c>
      <c r="G44" s="23" t="s">
        <v>31</v>
      </c>
      <c r="H44" s="13"/>
      <c r="I44" s="13" t="s">
        <v>19</v>
      </c>
      <c r="J44" s="13"/>
    </row>
    <row r="45" spans="1:10" ht="45" x14ac:dyDescent="0.25">
      <c r="A45" s="15" t="s">
        <v>79</v>
      </c>
      <c r="B45" s="16" t="s">
        <v>14</v>
      </c>
      <c r="C45" s="16" t="s">
        <v>15</v>
      </c>
      <c r="D45" s="17">
        <v>0</v>
      </c>
      <c r="E45" s="17">
        <v>0</v>
      </c>
      <c r="F45" s="16" t="s">
        <v>48</v>
      </c>
      <c r="G45" s="21" t="s">
        <v>31</v>
      </c>
      <c r="H45" s="16" t="s">
        <v>46</v>
      </c>
      <c r="I45" s="16" t="s">
        <v>19</v>
      </c>
      <c r="J45" s="16"/>
    </row>
    <row r="46" spans="1:10" ht="45" x14ac:dyDescent="0.25">
      <c r="A46" s="12" t="s">
        <v>80</v>
      </c>
      <c r="B46" s="13" t="s">
        <v>80</v>
      </c>
      <c r="C46" s="13" t="s">
        <v>15</v>
      </c>
      <c r="D46" s="14">
        <v>5</v>
      </c>
      <c r="E46" s="14">
        <v>0</v>
      </c>
      <c r="F46" s="13" t="s">
        <v>48</v>
      </c>
      <c r="G46" s="23" t="s">
        <v>31</v>
      </c>
      <c r="H46" s="13"/>
      <c r="I46" s="13" t="s">
        <v>19</v>
      </c>
      <c r="J46" s="13"/>
    </row>
    <row r="47" spans="1:10" ht="15.75" x14ac:dyDescent="0.25">
      <c r="A47" s="25" t="s">
        <v>81</v>
      </c>
      <c r="B47" s="25"/>
      <c r="C47" s="25"/>
      <c r="D47" s="26">
        <f>SUM(D48:D65)</f>
        <v>3624</v>
      </c>
      <c r="E47" s="26">
        <f>SUM(E48:E65)</f>
        <v>14</v>
      </c>
      <c r="F47" s="26" t="str">
        <f>TEXT(D47/E47,"0") &amp; " users per tech"</f>
        <v>259 users per tech</v>
      </c>
      <c r="G47" s="25"/>
      <c r="H47" s="25"/>
      <c r="I47" s="25"/>
      <c r="J47" s="25"/>
    </row>
    <row r="48" spans="1:10" ht="105" x14ac:dyDescent="0.25">
      <c r="A48" s="9" t="s">
        <v>82</v>
      </c>
      <c r="B48" s="10" t="s">
        <v>83</v>
      </c>
      <c r="C48" s="10" t="s">
        <v>84</v>
      </c>
      <c r="D48" s="27">
        <v>695</v>
      </c>
      <c r="E48" s="11">
        <v>2</v>
      </c>
      <c r="F48" s="10" t="s">
        <v>16</v>
      </c>
      <c r="G48" s="10" t="s">
        <v>85</v>
      </c>
      <c r="H48" s="10" t="s">
        <v>86</v>
      </c>
      <c r="I48" s="10" t="s">
        <v>86</v>
      </c>
      <c r="J48" s="10" t="s">
        <v>87</v>
      </c>
    </row>
    <row r="49" spans="1:10" ht="30" x14ac:dyDescent="0.25">
      <c r="A49" s="12" t="s">
        <v>88</v>
      </c>
      <c r="B49" s="13" t="s">
        <v>83</v>
      </c>
      <c r="C49" s="13" t="s">
        <v>84</v>
      </c>
      <c r="D49" s="14">
        <v>317</v>
      </c>
      <c r="E49" s="14">
        <v>1</v>
      </c>
      <c r="F49" s="13" t="s">
        <v>16</v>
      </c>
      <c r="G49" s="13" t="s">
        <v>89</v>
      </c>
      <c r="H49" s="13" t="s">
        <v>90</v>
      </c>
      <c r="I49" s="13" t="s">
        <v>86</v>
      </c>
      <c r="J49" s="13"/>
    </row>
    <row r="50" spans="1:10" ht="60" x14ac:dyDescent="0.25">
      <c r="A50" s="15" t="s">
        <v>91</v>
      </c>
      <c r="B50" s="10" t="s">
        <v>83</v>
      </c>
      <c r="C50" s="10" t="s">
        <v>84</v>
      </c>
      <c r="D50" s="28">
        <v>330</v>
      </c>
      <c r="E50" s="17">
        <v>2</v>
      </c>
      <c r="F50" s="10" t="s">
        <v>16</v>
      </c>
      <c r="G50" s="16" t="s">
        <v>92</v>
      </c>
      <c r="H50" s="16" t="s">
        <v>90</v>
      </c>
      <c r="I50" s="10" t="s">
        <v>86</v>
      </c>
      <c r="J50" s="16" t="s">
        <v>93</v>
      </c>
    </row>
    <row r="51" spans="1:10" ht="60" x14ac:dyDescent="0.25">
      <c r="A51" s="12" t="s">
        <v>94</v>
      </c>
      <c r="B51" s="13" t="s">
        <v>83</v>
      </c>
      <c r="C51" s="13" t="s">
        <v>84</v>
      </c>
      <c r="D51" s="14">
        <v>116</v>
      </c>
      <c r="E51" s="14">
        <v>1</v>
      </c>
      <c r="F51" s="13" t="s">
        <v>16</v>
      </c>
      <c r="G51" s="13" t="s">
        <v>95</v>
      </c>
      <c r="H51" s="13" t="s">
        <v>96</v>
      </c>
      <c r="I51" s="13" t="s">
        <v>86</v>
      </c>
      <c r="J51" s="13"/>
    </row>
    <row r="52" spans="1:10" ht="60" x14ac:dyDescent="0.25">
      <c r="A52" s="15" t="s">
        <v>97</v>
      </c>
      <c r="B52" s="10" t="s">
        <v>83</v>
      </c>
      <c r="C52" s="10" t="s">
        <v>84</v>
      </c>
      <c r="D52" s="28">
        <v>310</v>
      </c>
      <c r="E52" s="17">
        <v>0</v>
      </c>
      <c r="F52" s="16" t="s">
        <v>38</v>
      </c>
      <c r="G52" s="16" t="s">
        <v>98</v>
      </c>
      <c r="H52" s="16" t="s">
        <v>96</v>
      </c>
      <c r="I52" s="10" t="s">
        <v>86</v>
      </c>
      <c r="J52" s="16"/>
    </row>
    <row r="53" spans="1:10" ht="120" x14ac:dyDescent="0.25">
      <c r="A53" s="12" t="s">
        <v>99</v>
      </c>
      <c r="B53" s="13" t="s">
        <v>99</v>
      </c>
      <c r="C53" s="13" t="s">
        <v>84</v>
      </c>
      <c r="D53" s="14">
        <v>623</v>
      </c>
      <c r="E53" s="14">
        <v>2</v>
      </c>
      <c r="F53" s="13" t="s">
        <v>16</v>
      </c>
      <c r="G53" s="13" t="s">
        <v>100</v>
      </c>
      <c r="H53" s="13" t="s">
        <v>101</v>
      </c>
      <c r="I53" s="13" t="s">
        <v>86</v>
      </c>
      <c r="J53" s="13"/>
    </row>
    <row r="54" spans="1:10" ht="60" x14ac:dyDescent="0.25">
      <c r="A54" s="15" t="s">
        <v>102</v>
      </c>
      <c r="B54" s="16" t="s">
        <v>102</v>
      </c>
      <c r="C54" s="16" t="s">
        <v>84</v>
      </c>
      <c r="D54" s="17">
        <v>203</v>
      </c>
      <c r="E54" s="17">
        <v>2</v>
      </c>
      <c r="F54" s="16" t="s">
        <v>16</v>
      </c>
      <c r="G54" s="16" t="s">
        <v>103</v>
      </c>
      <c r="H54" s="16" t="s">
        <v>104</v>
      </c>
      <c r="I54" s="16" t="s">
        <v>86</v>
      </c>
      <c r="J54" s="16"/>
    </row>
    <row r="55" spans="1:10" ht="30" x14ac:dyDescent="0.25">
      <c r="A55" s="12" t="s">
        <v>105</v>
      </c>
      <c r="B55" s="13" t="s">
        <v>105</v>
      </c>
      <c r="C55" s="13" t="s">
        <v>84</v>
      </c>
      <c r="D55" s="14">
        <v>179</v>
      </c>
      <c r="E55" s="14">
        <v>1</v>
      </c>
      <c r="F55" s="13" t="s">
        <v>16</v>
      </c>
      <c r="G55" s="13" t="s">
        <v>106</v>
      </c>
      <c r="H55" s="13" t="s">
        <v>104</v>
      </c>
      <c r="I55" s="13" t="s">
        <v>86</v>
      </c>
      <c r="J55" s="13"/>
    </row>
    <row r="56" spans="1:10" ht="45" x14ac:dyDescent="0.25">
      <c r="A56" s="15" t="s">
        <v>107</v>
      </c>
      <c r="B56" s="16" t="s">
        <v>107</v>
      </c>
      <c r="C56" s="16" t="s">
        <v>84</v>
      </c>
      <c r="D56" s="17">
        <v>67</v>
      </c>
      <c r="E56" s="17">
        <v>1</v>
      </c>
      <c r="F56" s="16" t="s">
        <v>16</v>
      </c>
      <c r="G56" s="16" t="s">
        <v>108</v>
      </c>
      <c r="H56" s="16" t="s">
        <v>86</v>
      </c>
      <c r="I56" s="16" t="s">
        <v>86</v>
      </c>
      <c r="J56" s="16"/>
    </row>
    <row r="57" spans="1:10" ht="30" x14ac:dyDescent="0.25">
      <c r="A57" s="12" t="s">
        <v>109</v>
      </c>
      <c r="B57" s="13" t="s">
        <v>109</v>
      </c>
      <c r="C57" s="13" t="s">
        <v>84</v>
      </c>
      <c r="D57" s="14">
        <v>52</v>
      </c>
      <c r="E57" s="14">
        <v>1</v>
      </c>
      <c r="F57" s="13" t="s">
        <v>16</v>
      </c>
      <c r="G57" s="13" t="s">
        <v>110</v>
      </c>
      <c r="H57" s="13" t="s">
        <v>86</v>
      </c>
      <c r="I57" s="13" t="s">
        <v>86</v>
      </c>
      <c r="J57" s="13"/>
    </row>
    <row r="58" spans="1:10" ht="60" x14ac:dyDescent="0.25">
      <c r="A58" s="15" t="s">
        <v>111</v>
      </c>
      <c r="B58" s="16" t="s">
        <v>111</v>
      </c>
      <c r="C58" s="16" t="s">
        <v>84</v>
      </c>
      <c r="D58" s="17">
        <v>162</v>
      </c>
      <c r="E58" s="17">
        <v>0</v>
      </c>
      <c r="F58" s="16" t="s">
        <v>38</v>
      </c>
      <c r="G58" s="16" t="s">
        <v>112</v>
      </c>
      <c r="H58" s="16" t="s">
        <v>104</v>
      </c>
      <c r="I58" s="16" t="s">
        <v>86</v>
      </c>
      <c r="J58" s="16"/>
    </row>
    <row r="59" spans="1:10" ht="30" x14ac:dyDescent="0.25">
      <c r="A59" s="12" t="s">
        <v>113</v>
      </c>
      <c r="B59" s="13" t="s">
        <v>113</v>
      </c>
      <c r="C59" s="13" t="s">
        <v>84</v>
      </c>
      <c r="D59" s="14">
        <v>415</v>
      </c>
      <c r="E59" s="14">
        <v>1</v>
      </c>
      <c r="F59" s="13" t="s">
        <v>16</v>
      </c>
      <c r="G59" s="13" t="s">
        <v>114</v>
      </c>
      <c r="H59" s="13"/>
      <c r="I59" s="13" t="s">
        <v>86</v>
      </c>
      <c r="J59" s="13"/>
    </row>
    <row r="60" spans="1:10" ht="60" x14ac:dyDescent="0.25">
      <c r="A60" s="15" t="s">
        <v>115</v>
      </c>
      <c r="B60" s="16" t="s">
        <v>115</v>
      </c>
      <c r="C60" s="16" t="s">
        <v>84</v>
      </c>
      <c r="D60" s="17">
        <v>114</v>
      </c>
      <c r="E60" s="17">
        <v>0</v>
      </c>
      <c r="F60" s="24" t="s">
        <v>38</v>
      </c>
      <c r="G60" s="24" t="s">
        <v>116</v>
      </c>
      <c r="H60" s="16"/>
      <c r="I60" s="16" t="s">
        <v>86</v>
      </c>
      <c r="J60" s="16"/>
    </row>
    <row r="61" spans="1:10" ht="45" x14ac:dyDescent="0.25">
      <c r="A61" s="12" t="s">
        <v>117</v>
      </c>
      <c r="B61" s="13" t="s">
        <v>117</v>
      </c>
      <c r="C61" s="13" t="s">
        <v>84</v>
      </c>
      <c r="D61" s="14">
        <v>28</v>
      </c>
      <c r="E61" s="14">
        <v>0</v>
      </c>
      <c r="F61" s="20" t="s">
        <v>48</v>
      </c>
      <c r="G61" s="29" t="s">
        <v>118</v>
      </c>
      <c r="H61" s="30"/>
      <c r="I61" s="13" t="s">
        <v>86</v>
      </c>
      <c r="J61" s="13"/>
    </row>
    <row r="62" spans="1:10" ht="45" x14ac:dyDescent="0.25">
      <c r="A62" s="15" t="s">
        <v>119</v>
      </c>
      <c r="B62" s="16" t="s">
        <v>119</v>
      </c>
      <c r="C62" s="16" t="s">
        <v>84</v>
      </c>
      <c r="D62" s="17">
        <v>4</v>
      </c>
      <c r="E62" s="17">
        <v>0</v>
      </c>
      <c r="F62" s="24" t="s">
        <v>48</v>
      </c>
      <c r="G62" s="31" t="s">
        <v>118</v>
      </c>
      <c r="H62" s="24"/>
      <c r="I62" s="16" t="s">
        <v>86</v>
      </c>
      <c r="J62" s="16"/>
    </row>
    <row r="63" spans="1:10" ht="60" x14ac:dyDescent="0.25">
      <c r="A63" s="12" t="s">
        <v>120</v>
      </c>
      <c r="B63" s="13" t="s">
        <v>120</v>
      </c>
      <c r="C63" s="13" t="s">
        <v>84</v>
      </c>
      <c r="D63" s="14">
        <v>1</v>
      </c>
      <c r="E63" s="14">
        <v>0</v>
      </c>
      <c r="F63" s="20" t="s">
        <v>48</v>
      </c>
      <c r="G63" s="29" t="s">
        <v>116</v>
      </c>
      <c r="H63" s="30"/>
      <c r="I63" s="13" t="s">
        <v>86</v>
      </c>
      <c r="J63" s="13"/>
    </row>
    <row r="64" spans="1:10" ht="60" x14ac:dyDescent="0.25">
      <c r="A64" s="15" t="s">
        <v>121</v>
      </c>
      <c r="B64" s="16" t="s">
        <v>121</v>
      </c>
      <c r="C64" s="16" t="s">
        <v>84</v>
      </c>
      <c r="D64" s="17">
        <v>1</v>
      </c>
      <c r="E64" s="17">
        <v>0</v>
      </c>
      <c r="F64" s="24" t="s">
        <v>48</v>
      </c>
      <c r="G64" s="31" t="s">
        <v>116</v>
      </c>
      <c r="H64" s="24"/>
      <c r="I64" s="16" t="s">
        <v>86</v>
      </c>
      <c r="J64" s="16"/>
    </row>
    <row r="65" spans="1:10" ht="60" x14ac:dyDescent="0.25">
      <c r="A65" s="12" t="s">
        <v>122</v>
      </c>
      <c r="B65" s="13" t="s">
        <v>122</v>
      </c>
      <c r="C65" s="13" t="s">
        <v>84</v>
      </c>
      <c r="D65" s="14">
        <v>7</v>
      </c>
      <c r="E65" s="14">
        <v>0</v>
      </c>
      <c r="F65" s="32" t="s">
        <v>48</v>
      </c>
      <c r="G65" s="29" t="s">
        <v>98</v>
      </c>
      <c r="H65" s="13"/>
      <c r="I65" s="13" t="s">
        <v>86</v>
      </c>
      <c r="J65" s="13"/>
    </row>
    <row r="66" spans="1:10" ht="15.75" x14ac:dyDescent="0.25">
      <c r="A66" s="33" t="s">
        <v>123</v>
      </c>
      <c r="B66" s="33"/>
      <c r="C66" s="33"/>
      <c r="D66" s="34">
        <f>SUM(D67:D95)</f>
        <v>7566</v>
      </c>
      <c r="E66" s="34">
        <f>SUM(E67:E95)</f>
        <v>18</v>
      </c>
      <c r="F66" s="34" t="str">
        <f>TEXT(D66/E66,"0") &amp; " users per tech"</f>
        <v>420 users per tech</v>
      </c>
      <c r="G66" s="35"/>
      <c r="H66" s="33"/>
      <c r="I66" s="33"/>
      <c r="J66" s="33"/>
    </row>
    <row r="67" spans="1:10" ht="90" x14ac:dyDescent="0.25">
      <c r="A67" s="36" t="s">
        <v>124</v>
      </c>
      <c r="B67" s="37" t="s">
        <v>125</v>
      </c>
      <c r="C67" s="37" t="s">
        <v>126</v>
      </c>
      <c r="D67" s="27">
        <v>1369</v>
      </c>
      <c r="E67" s="27">
        <v>2</v>
      </c>
      <c r="F67" s="37" t="s">
        <v>16</v>
      </c>
      <c r="G67" s="37" t="s">
        <v>127</v>
      </c>
      <c r="H67" s="37" t="s">
        <v>128</v>
      </c>
      <c r="I67" s="38" t="s">
        <v>129</v>
      </c>
      <c r="J67" s="39" t="s">
        <v>130</v>
      </c>
    </row>
    <row r="68" spans="1:10" ht="120" x14ac:dyDescent="0.25">
      <c r="A68" s="12" t="s">
        <v>131</v>
      </c>
      <c r="B68" s="13" t="s">
        <v>125</v>
      </c>
      <c r="C68" s="13" t="s">
        <v>126</v>
      </c>
      <c r="D68" s="14">
        <v>1030</v>
      </c>
      <c r="E68" s="14">
        <v>3</v>
      </c>
      <c r="F68" s="13" t="s">
        <v>16</v>
      </c>
      <c r="G68" s="13" t="s">
        <v>132</v>
      </c>
      <c r="H68" s="13" t="s">
        <v>133</v>
      </c>
      <c r="I68" s="13" t="s">
        <v>134</v>
      </c>
      <c r="J68" s="40"/>
    </row>
    <row r="69" spans="1:10" ht="45" x14ac:dyDescent="0.25">
      <c r="A69" s="12" t="s">
        <v>135</v>
      </c>
      <c r="B69" s="13" t="s">
        <v>125</v>
      </c>
      <c r="C69" s="13" t="s">
        <v>126</v>
      </c>
      <c r="D69" s="14">
        <v>492</v>
      </c>
      <c r="E69" s="14">
        <v>1</v>
      </c>
      <c r="F69" s="13" t="s">
        <v>16</v>
      </c>
      <c r="G69" s="13" t="s">
        <v>136</v>
      </c>
      <c r="H69" s="13" t="s">
        <v>133</v>
      </c>
      <c r="I69" s="13" t="s">
        <v>134</v>
      </c>
      <c r="J69" s="40"/>
    </row>
    <row r="70" spans="1:10" ht="90" x14ac:dyDescent="0.25">
      <c r="A70" s="41" t="s">
        <v>137</v>
      </c>
      <c r="B70" s="38" t="s">
        <v>125</v>
      </c>
      <c r="C70" s="38" t="s">
        <v>126</v>
      </c>
      <c r="D70" s="28">
        <v>1236</v>
      </c>
      <c r="E70" s="28">
        <v>2</v>
      </c>
      <c r="F70" s="38" t="s">
        <v>16</v>
      </c>
      <c r="G70" s="38" t="s">
        <v>138</v>
      </c>
      <c r="H70" s="38" t="s">
        <v>128</v>
      </c>
      <c r="I70" s="38" t="s">
        <v>129</v>
      </c>
      <c r="J70" s="40"/>
    </row>
    <row r="71" spans="1:10" ht="30" x14ac:dyDescent="0.25">
      <c r="A71" s="42" t="s">
        <v>139</v>
      </c>
      <c r="B71" s="43" t="s">
        <v>125</v>
      </c>
      <c r="C71" s="43" t="s">
        <v>126</v>
      </c>
      <c r="D71" s="22">
        <v>496</v>
      </c>
      <c r="E71" s="22">
        <v>1</v>
      </c>
      <c r="F71" s="43" t="s">
        <v>16</v>
      </c>
      <c r="G71" s="43" t="s">
        <v>140</v>
      </c>
      <c r="H71" s="43" t="s">
        <v>141</v>
      </c>
      <c r="I71" s="43" t="s">
        <v>129</v>
      </c>
      <c r="J71" s="40"/>
    </row>
    <row r="72" spans="1:10" ht="120" x14ac:dyDescent="0.25">
      <c r="A72" s="41" t="s">
        <v>142</v>
      </c>
      <c r="B72" s="38" t="s">
        <v>143</v>
      </c>
      <c r="C72" s="38" t="s">
        <v>126</v>
      </c>
      <c r="D72" s="28">
        <v>458</v>
      </c>
      <c r="E72" s="28">
        <v>4</v>
      </c>
      <c r="F72" s="38" t="s">
        <v>16</v>
      </c>
      <c r="G72" s="38" t="s">
        <v>144</v>
      </c>
      <c r="H72" s="38" t="s">
        <v>145</v>
      </c>
      <c r="I72" s="38" t="s">
        <v>146</v>
      </c>
      <c r="J72" s="40"/>
    </row>
    <row r="73" spans="1:10" ht="30" x14ac:dyDescent="0.25">
      <c r="A73" s="42" t="s">
        <v>147</v>
      </c>
      <c r="B73" s="43" t="s">
        <v>143</v>
      </c>
      <c r="C73" s="43" t="s">
        <v>126</v>
      </c>
      <c r="D73" s="22">
        <v>356</v>
      </c>
      <c r="E73" s="22">
        <v>1</v>
      </c>
      <c r="F73" s="43" t="s">
        <v>16</v>
      </c>
      <c r="G73" s="43" t="s">
        <v>148</v>
      </c>
      <c r="H73" s="43" t="s">
        <v>145</v>
      </c>
      <c r="I73" s="43" t="s">
        <v>146</v>
      </c>
      <c r="J73" s="40"/>
    </row>
    <row r="74" spans="1:10" ht="90" x14ac:dyDescent="0.25">
      <c r="A74" s="41" t="s">
        <v>149</v>
      </c>
      <c r="B74" s="38" t="s">
        <v>125</v>
      </c>
      <c r="C74" s="38" t="s">
        <v>126</v>
      </c>
      <c r="D74" s="28">
        <v>304</v>
      </c>
      <c r="E74" s="28">
        <v>2</v>
      </c>
      <c r="F74" s="38" t="s">
        <v>16</v>
      </c>
      <c r="G74" s="38" t="s">
        <v>150</v>
      </c>
      <c r="H74" s="38" t="s">
        <v>141</v>
      </c>
      <c r="I74" s="38" t="s">
        <v>129</v>
      </c>
      <c r="J74" s="40"/>
    </row>
    <row r="75" spans="1:10" ht="30" x14ac:dyDescent="0.25">
      <c r="A75" s="42" t="s">
        <v>151</v>
      </c>
      <c r="B75" s="43" t="s">
        <v>125</v>
      </c>
      <c r="C75" s="43" t="s">
        <v>126</v>
      </c>
      <c r="D75" s="22">
        <v>304</v>
      </c>
      <c r="E75" s="22">
        <v>1</v>
      </c>
      <c r="F75" s="43" t="s">
        <v>16</v>
      </c>
      <c r="G75" s="43" t="s">
        <v>152</v>
      </c>
      <c r="H75" s="43" t="s">
        <v>141</v>
      </c>
      <c r="I75" s="43" t="s">
        <v>129</v>
      </c>
      <c r="J75" s="40"/>
    </row>
    <row r="76" spans="1:10" ht="45" x14ac:dyDescent="0.25">
      <c r="A76" s="41" t="s">
        <v>153</v>
      </c>
      <c r="B76" s="38" t="s">
        <v>125</v>
      </c>
      <c r="C76" s="38" t="s">
        <v>126</v>
      </c>
      <c r="D76" s="28">
        <v>216</v>
      </c>
      <c r="E76" s="28">
        <v>0</v>
      </c>
      <c r="F76" s="38" t="s">
        <v>38</v>
      </c>
      <c r="G76" s="44" t="s">
        <v>154</v>
      </c>
      <c r="H76" s="38" t="s">
        <v>128</v>
      </c>
      <c r="I76" s="38" t="s">
        <v>129</v>
      </c>
      <c r="J76" s="40"/>
    </row>
    <row r="77" spans="1:10" ht="30" x14ac:dyDescent="0.25">
      <c r="A77" s="42" t="s">
        <v>155</v>
      </c>
      <c r="B77" s="43" t="s">
        <v>125</v>
      </c>
      <c r="C77" s="43" t="s">
        <v>126</v>
      </c>
      <c r="D77" s="22">
        <v>177</v>
      </c>
      <c r="E77" s="22">
        <v>1</v>
      </c>
      <c r="F77" s="43" t="s">
        <v>16</v>
      </c>
      <c r="G77" s="43" t="s">
        <v>156</v>
      </c>
      <c r="H77" s="43" t="s">
        <v>128</v>
      </c>
      <c r="I77" s="43" t="s">
        <v>129</v>
      </c>
      <c r="J77" s="40"/>
    </row>
    <row r="78" spans="1:10" ht="60" x14ac:dyDescent="0.25">
      <c r="A78" s="41" t="s">
        <v>157</v>
      </c>
      <c r="B78" s="38" t="s">
        <v>125</v>
      </c>
      <c r="C78" s="38" t="s">
        <v>126</v>
      </c>
      <c r="D78" s="28">
        <v>142</v>
      </c>
      <c r="E78" s="28">
        <v>0</v>
      </c>
      <c r="F78" s="38" t="s">
        <v>38</v>
      </c>
      <c r="G78" s="44" t="s">
        <v>158</v>
      </c>
      <c r="H78" s="38" t="s">
        <v>128</v>
      </c>
      <c r="I78" s="38" t="s">
        <v>129</v>
      </c>
      <c r="J78" s="40"/>
    </row>
    <row r="79" spans="1:10" ht="120" x14ac:dyDescent="0.25">
      <c r="A79" s="42" t="s">
        <v>159</v>
      </c>
      <c r="B79" s="43" t="s">
        <v>125</v>
      </c>
      <c r="C79" s="43" t="s">
        <v>126</v>
      </c>
      <c r="D79" s="22">
        <v>106</v>
      </c>
      <c r="E79" s="22">
        <v>0</v>
      </c>
      <c r="F79" s="43" t="s">
        <v>38</v>
      </c>
      <c r="G79" s="43" t="s">
        <v>160</v>
      </c>
      <c r="H79" s="43" t="s">
        <v>128</v>
      </c>
      <c r="I79" s="43" t="s">
        <v>129</v>
      </c>
      <c r="J79" s="40"/>
    </row>
    <row r="80" spans="1:10" ht="45" x14ac:dyDescent="0.25">
      <c r="A80" s="41" t="s">
        <v>161</v>
      </c>
      <c r="B80" s="38" t="s">
        <v>125</v>
      </c>
      <c r="C80" s="38" t="s">
        <v>126</v>
      </c>
      <c r="D80" s="28">
        <v>81</v>
      </c>
      <c r="E80" s="28">
        <v>0</v>
      </c>
      <c r="F80" s="38" t="s">
        <v>38</v>
      </c>
      <c r="G80" s="19" t="s">
        <v>154</v>
      </c>
      <c r="H80" s="38" t="s">
        <v>141</v>
      </c>
      <c r="I80" s="38" t="s">
        <v>129</v>
      </c>
      <c r="J80" s="40"/>
    </row>
    <row r="81" spans="1:10" ht="60" x14ac:dyDescent="0.25">
      <c r="A81" s="42" t="s">
        <v>162</v>
      </c>
      <c r="B81" s="43" t="s">
        <v>125</v>
      </c>
      <c r="C81" s="43" t="s">
        <v>126</v>
      </c>
      <c r="D81" s="22">
        <v>57</v>
      </c>
      <c r="E81" s="22">
        <v>0</v>
      </c>
      <c r="F81" s="43" t="s">
        <v>38</v>
      </c>
      <c r="G81" s="43" t="s">
        <v>163</v>
      </c>
      <c r="H81" s="43" t="s">
        <v>129</v>
      </c>
      <c r="I81" s="43" t="s">
        <v>129</v>
      </c>
      <c r="J81" s="40"/>
    </row>
    <row r="82" spans="1:10" ht="60" x14ac:dyDescent="0.25">
      <c r="A82" s="41" t="s">
        <v>164</v>
      </c>
      <c r="B82" s="38" t="s">
        <v>125</v>
      </c>
      <c r="C82" s="38" t="s">
        <v>126</v>
      </c>
      <c r="D82" s="28">
        <v>60</v>
      </c>
      <c r="E82" s="28">
        <v>0</v>
      </c>
      <c r="F82" s="44" t="s">
        <v>38</v>
      </c>
      <c r="G82" s="44" t="s">
        <v>165</v>
      </c>
      <c r="H82" s="38" t="s">
        <v>128</v>
      </c>
      <c r="I82" s="38" t="s">
        <v>129</v>
      </c>
      <c r="J82" s="40"/>
    </row>
    <row r="83" spans="1:10" ht="45" x14ac:dyDescent="0.25">
      <c r="A83" s="42" t="s">
        <v>166</v>
      </c>
      <c r="B83" s="43" t="s">
        <v>125</v>
      </c>
      <c r="C83" s="43" t="s">
        <v>126</v>
      </c>
      <c r="D83" s="22">
        <v>41</v>
      </c>
      <c r="E83" s="22">
        <v>0</v>
      </c>
      <c r="F83" s="43" t="s">
        <v>38</v>
      </c>
      <c r="G83" s="19" t="s">
        <v>154</v>
      </c>
      <c r="H83" s="43" t="s">
        <v>128</v>
      </c>
      <c r="I83" s="43" t="s">
        <v>129</v>
      </c>
      <c r="J83" s="40"/>
    </row>
    <row r="84" spans="1:10" ht="45" x14ac:dyDescent="0.25">
      <c r="A84" s="41" t="s">
        <v>167</v>
      </c>
      <c r="B84" s="38" t="s">
        <v>125</v>
      </c>
      <c r="C84" s="38" t="s">
        <v>126</v>
      </c>
      <c r="D84" s="28">
        <v>36</v>
      </c>
      <c r="E84" s="28">
        <v>0</v>
      </c>
      <c r="F84" s="44" t="s">
        <v>38</v>
      </c>
      <c r="G84" s="44" t="s">
        <v>154</v>
      </c>
      <c r="H84" s="38" t="s">
        <v>128</v>
      </c>
      <c r="I84" s="38" t="s">
        <v>129</v>
      </c>
      <c r="J84" s="40"/>
    </row>
    <row r="85" spans="1:10" ht="45" x14ac:dyDescent="0.25">
      <c r="A85" s="42" t="s">
        <v>168</v>
      </c>
      <c r="B85" s="43" t="s">
        <v>125</v>
      </c>
      <c r="C85" s="43" t="s">
        <v>126</v>
      </c>
      <c r="D85" s="22">
        <v>76</v>
      </c>
      <c r="E85" s="45">
        <v>0</v>
      </c>
      <c r="F85" s="43" t="s">
        <v>38</v>
      </c>
      <c r="G85" s="19" t="s">
        <v>154</v>
      </c>
      <c r="H85" s="43" t="s">
        <v>128</v>
      </c>
      <c r="I85" s="43" t="s">
        <v>129</v>
      </c>
      <c r="J85" s="40"/>
    </row>
    <row r="86" spans="1:10" ht="45" x14ac:dyDescent="0.25">
      <c r="A86" s="41" t="s">
        <v>169</v>
      </c>
      <c r="B86" s="38" t="s">
        <v>125</v>
      </c>
      <c r="C86" s="38" t="s">
        <v>126</v>
      </c>
      <c r="D86" s="28">
        <v>53</v>
      </c>
      <c r="E86" s="28">
        <v>0</v>
      </c>
      <c r="F86" s="38" t="s">
        <v>38</v>
      </c>
      <c r="G86" s="44" t="s">
        <v>170</v>
      </c>
      <c r="H86" s="38" t="s">
        <v>128</v>
      </c>
      <c r="I86" s="38" t="s">
        <v>129</v>
      </c>
      <c r="J86" s="40"/>
    </row>
    <row r="87" spans="1:10" ht="45" x14ac:dyDescent="0.25">
      <c r="A87" s="42" t="s">
        <v>171</v>
      </c>
      <c r="B87" s="43" t="s">
        <v>125</v>
      </c>
      <c r="C87" s="43" t="s">
        <v>126</v>
      </c>
      <c r="D87" s="22">
        <v>50</v>
      </c>
      <c r="E87" s="45">
        <v>0</v>
      </c>
      <c r="F87" s="43" t="s">
        <v>38</v>
      </c>
      <c r="G87" s="19" t="s">
        <v>154</v>
      </c>
      <c r="H87" s="43" t="s">
        <v>128</v>
      </c>
      <c r="I87" s="43" t="s">
        <v>129</v>
      </c>
      <c r="J87" s="40"/>
    </row>
    <row r="88" spans="1:10" ht="60" x14ac:dyDescent="0.25">
      <c r="A88" s="41" t="s">
        <v>172</v>
      </c>
      <c r="B88" s="38" t="s">
        <v>125</v>
      </c>
      <c r="C88" s="38" t="s">
        <v>126</v>
      </c>
      <c r="D88" s="28">
        <v>52</v>
      </c>
      <c r="E88" s="28">
        <v>0</v>
      </c>
      <c r="F88" s="38" t="s">
        <v>38</v>
      </c>
      <c r="G88" s="38" t="s">
        <v>173</v>
      </c>
      <c r="H88" s="38" t="s">
        <v>128</v>
      </c>
      <c r="I88" s="38" t="s">
        <v>129</v>
      </c>
      <c r="J88" s="40"/>
    </row>
    <row r="89" spans="1:10" ht="45" x14ac:dyDescent="0.25">
      <c r="A89" s="42" t="s">
        <v>174</v>
      </c>
      <c r="B89" s="43" t="s">
        <v>143</v>
      </c>
      <c r="C89" s="43" t="s">
        <v>126</v>
      </c>
      <c r="D89" s="22">
        <v>35</v>
      </c>
      <c r="E89" s="45">
        <v>0</v>
      </c>
      <c r="F89" s="43" t="s">
        <v>38</v>
      </c>
      <c r="G89" s="44" t="s">
        <v>170</v>
      </c>
      <c r="H89" s="43" t="s">
        <v>128</v>
      </c>
      <c r="I89" s="43" t="s">
        <v>129</v>
      </c>
      <c r="J89" s="40"/>
    </row>
    <row r="90" spans="1:10" ht="60" x14ac:dyDescent="0.25">
      <c r="A90" s="41" t="s">
        <v>175</v>
      </c>
      <c r="B90" s="38" t="s">
        <v>125</v>
      </c>
      <c r="C90" s="38" t="s">
        <v>126</v>
      </c>
      <c r="D90" s="28">
        <v>2</v>
      </c>
      <c r="E90" s="28">
        <v>0</v>
      </c>
      <c r="F90" s="38" t="s">
        <v>38</v>
      </c>
      <c r="G90" s="38" t="s">
        <v>173</v>
      </c>
      <c r="H90" s="38" t="s">
        <v>141</v>
      </c>
      <c r="I90" s="38" t="s">
        <v>129</v>
      </c>
      <c r="J90" s="40"/>
    </row>
    <row r="91" spans="1:10" ht="60" x14ac:dyDescent="0.25">
      <c r="A91" s="42" t="s">
        <v>176</v>
      </c>
      <c r="B91" s="43" t="s">
        <v>125</v>
      </c>
      <c r="C91" s="43" t="s">
        <v>126</v>
      </c>
      <c r="D91" s="22">
        <v>24</v>
      </c>
      <c r="E91" s="45">
        <v>0</v>
      </c>
      <c r="F91" s="43" t="s">
        <v>38</v>
      </c>
      <c r="G91" s="38" t="s">
        <v>173</v>
      </c>
      <c r="H91" s="43" t="s">
        <v>141</v>
      </c>
      <c r="I91" s="43" t="s">
        <v>129</v>
      </c>
      <c r="J91" s="40"/>
    </row>
    <row r="92" spans="1:10" ht="60" x14ac:dyDescent="0.25">
      <c r="A92" s="41" t="s">
        <v>177</v>
      </c>
      <c r="B92" s="38" t="s">
        <v>125</v>
      </c>
      <c r="C92" s="38" t="s">
        <v>126</v>
      </c>
      <c r="D92" s="28">
        <v>14</v>
      </c>
      <c r="E92" s="28">
        <v>0</v>
      </c>
      <c r="F92" s="38" t="s">
        <v>38</v>
      </c>
      <c r="G92" s="44" t="s">
        <v>165</v>
      </c>
      <c r="H92" s="38" t="s">
        <v>141</v>
      </c>
      <c r="I92" s="38" t="s">
        <v>129</v>
      </c>
      <c r="J92" s="40"/>
    </row>
    <row r="93" spans="1:10" ht="60" x14ac:dyDescent="0.25">
      <c r="A93" s="42" t="s">
        <v>178</v>
      </c>
      <c r="B93" s="43" t="s">
        <v>143</v>
      </c>
      <c r="C93" s="43" t="s">
        <v>126</v>
      </c>
      <c r="D93" s="22">
        <v>12</v>
      </c>
      <c r="E93" s="22">
        <v>0</v>
      </c>
      <c r="F93" s="43" t="s">
        <v>38</v>
      </c>
      <c r="G93" s="43" t="s">
        <v>179</v>
      </c>
      <c r="H93" s="43" t="s">
        <v>145</v>
      </c>
      <c r="I93" s="43" t="s">
        <v>129</v>
      </c>
      <c r="J93" s="40"/>
    </row>
    <row r="94" spans="1:10" ht="60" x14ac:dyDescent="0.25">
      <c r="A94" s="41" t="s">
        <v>48</v>
      </c>
      <c r="B94" s="38" t="s">
        <v>143</v>
      </c>
      <c r="C94" s="38" t="s">
        <v>126</v>
      </c>
      <c r="D94" s="28">
        <v>279</v>
      </c>
      <c r="E94" s="28">
        <v>0</v>
      </c>
      <c r="F94" s="38" t="s">
        <v>48</v>
      </c>
      <c r="G94" s="44" t="s">
        <v>179</v>
      </c>
      <c r="H94" s="38" t="s">
        <v>145</v>
      </c>
      <c r="I94" s="38" t="s">
        <v>129</v>
      </c>
      <c r="J94" s="40"/>
    </row>
    <row r="95" spans="1:10" ht="60" x14ac:dyDescent="0.25">
      <c r="A95" s="42" t="s">
        <v>180</v>
      </c>
      <c r="B95" s="43" t="s">
        <v>143</v>
      </c>
      <c r="C95" s="43" t="s">
        <v>126</v>
      </c>
      <c r="D95" s="22">
        <v>8</v>
      </c>
      <c r="E95" s="22">
        <v>0</v>
      </c>
      <c r="F95" s="43" t="s">
        <v>38</v>
      </c>
      <c r="G95" s="43" t="s">
        <v>179</v>
      </c>
      <c r="H95" s="43" t="s">
        <v>145</v>
      </c>
      <c r="I95" s="43" t="s">
        <v>129</v>
      </c>
      <c r="J95" s="46"/>
    </row>
    <row r="96" spans="1:10" ht="30" x14ac:dyDescent="0.25">
      <c r="A96" s="41" t="s">
        <v>181</v>
      </c>
      <c r="B96" s="41" t="s">
        <v>181</v>
      </c>
      <c r="C96" s="38" t="s">
        <v>126</v>
      </c>
      <c r="D96" s="28">
        <v>19</v>
      </c>
      <c r="E96" s="28">
        <v>0</v>
      </c>
      <c r="F96" s="38" t="s">
        <v>48</v>
      </c>
      <c r="G96" s="38"/>
      <c r="H96" s="38"/>
      <c r="I96" s="38" t="s">
        <v>129</v>
      </c>
      <c r="J96" s="16"/>
    </row>
    <row r="97" spans="1:10" ht="75" x14ac:dyDescent="0.25">
      <c r="A97" s="42" t="s">
        <v>182</v>
      </c>
      <c r="B97" s="42" t="s">
        <v>182</v>
      </c>
      <c r="C97" s="43" t="s">
        <v>126</v>
      </c>
      <c r="D97" s="22">
        <v>44</v>
      </c>
      <c r="E97" s="22">
        <v>0</v>
      </c>
      <c r="F97" s="43" t="s">
        <v>48</v>
      </c>
      <c r="G97" s="43" t="s">
        <v>183</v>
      </c>
      <c r="H97" s="43"/>
      <c r="I97" s="43" t="s">
        <v>129</v>
      </c>
      <c r="J97" s="20"/>
    </row>
    <row r="98" spans="1:10" ht="30" x14ac:dyDescent="0.25">
      <c r="A98" s="41" t="s">
        <v>184</v>
      </c>
      <c r="B98" s="41" t="s">
        <v>184</v>
      </c>
      <c r="C98" s="38" t="s">
        <v>126</v>
      </c>
      <c r="D98" s="28">
        <v>10</v>
      </c>
      <c r="E98" s="28">
        <v>0</v>
      </c>
      <c r="F98" s="38" t="s">
        <v>48</v>
      </c>
      <c r="G98" s="38"/>
      <c r="H98" s="38"/>
      <c r="I98" s="38" t="s">
        <v>129</v>
      </c>
      <c r="J98" s="16"/>
    </row>
    <row r="99" spans="1:10" ht="30" x14ac:dyDescent="0.25">
      <c r="A99" s="42" t="s">
        <v>185</v>
      </c>
      <c r="B99" s="42" t="s">
        <v>185</v>
      </c>
      <c r="C99" s="43" t="s">
        <v>126</v>
      </c>
      <c r="D99" s="22">
        <v>3</v>
      </c>
      <c r="E99" s="22">
        <v>0</v>
      </c>
      <c r="F99" s="43" t="s">
        <v>48</v>
      </c>
      <c r="G99" s="43"/>
      <c r="H99" s="43"/>
      <c r="I99" s="43" t="s">
        <v>129</v>
      </c>
      <c r="J99" s="20"/>
    </row>
    <row r="100" spans="1:10" ht="30" x14ac:dyDescent="0.25">
      <c r="A100" s="41" t="s">
        <v>186</v>
      </c>
      <c r="B100" s="41" t="s">
        <v>186</v>
      </c>
      <c r="C100" s="38" t="s">
        <v>126</v>
      </c>
      <c r="D100" s="28">
        <v>2</v>
      </c>
      <c r="E100" s="28">
        <v>0</v>
      </c>
      <c r="F100" s="38" t="s">
        <v>48</v>
      </c>
      <c r="G100" s="38"/>
      <c r="H100" s="38"/>
      <c r="I100" s="38" t="s">
        <v>129</v>
      </c>
      <c r="J100" s="16"/>
    </row>
    <row r="101" spans="1:10" ht="30" x14ac:dyDescent="0.25">
      <c r="A101" s="42" t="s">
        <v>187</v>
      </c>
      <c r="B101" s="42" t="s">
        <v>187</v>
      </c>
      <c r="C101" s="43" t="s">
        <v>126</v>
      </c>
      <c r="D101" s="22">
        <v>13</v>
      </c>
      <c r="E101" s="22">
        <v>0</v>
      </c>
      <c r="F101" s="43" t="s">
        <v>48</v>
      </c>
      <c r="G101" s="43"/>
      <c r="H101" s="43"/>
      <c r="I101" s="43" t="s">
        <v>129</v>
      </c>
      <c r="J101" s="20"/>
    </row>
    <row r="102" spans="1:10" ht="30" x14ac:dyDescent="0.25">
      <c r="A102" s="41" t="s">
        <v>188</v>
      </c>
      <c r="B102" s="41" t="s">
        <v>188</v>
      </c>
      <c r="C102" s="38" t="s">
        <v>126</v>
      </c>
      <c r="D102" s="28">
        <v>1</v>
      </c>
      <c r="E102" s="28">
        <v>0</v>
      </c>
      <c r="F102" s="38" t="s">
        <v>48</v>
      </c>
      <c r="G102" s="38"/>
      <c r="H102" s="38"/>
      <c r="I102" s="38" t="s">
        <v>129</v>
      </c>
      <c r="J102" s="16"/>
    </row>
    <row r="103" spans="1:10" ht="15.75" x14ac:dyDescent="0.25">
      <c r="A103" s="47" t="s">
        <v>189</v>
      </c>
      <c r="B103" s="47"/>
      <c r="C103" s="47"/>
      <c r="D103" s="48">
        <f>SUM(D104:D113)</f>
        <v>8188</v>
      </c>
      <c r="E103" s="48">
        <f>SUM(E104:E113)</f>
        <v>12</v>
      </c>
      <c r="F103" s="48" t="str">
        <f>TEXT(D103/E103,"0") &amp; " users per tech"</f>
        <v>682 users per tech</v>
      </c>
      <c r="G103" s="47"/>
      <c r="H103" s="47"/>
      <c r="I103" s="47"/>
      <c r="J103" s="47"/>
    </row>
    <row r="104" spans="1:10" ht="105" x14ac:dyDescent="0.25">
      <c r="A104" s="49" t="s">
        <v>190</v>
      </c>
      <c r="B104" s="24" t="s">
        <v>191</v>
      </c>
      <c r="C104" s="24" t="s">
        <v>191</v>
      </c>
      <c r="D104" s="50">
        <v>2483</v>
      </c>
      <c r="E104" s="51">
        <v>3</v>
      </c>
      <c r="F104" s="24" t="s">
        <v>16</v>
      </c>
      <c r="G104" s="24" t="s">
        <v>192</v>
      </c>
      <c r="H104" s="24" t="s">
        <v>193</v>
      </c>
      <c r="I104" s="16" t="s">
        <v>86</v>
      </c>
      <c r="J104" s="24"/>
    </row>
    <row r="105" spans="1:10" ht="105" x14ac:dyDescent="0.25">
      <c r="A105" s="52" t="s">
        <v>194</v>
      </c>
      <c r="B105" s="53" t="s">
        <v>191</v>
      </c>
      <c r="C105" s="53" t="s">
        <v>191</v>
      </c>
      <c r="D105" s="54">
        <v>1996</v>
      </c>
      <c r="E105" s="55">
        <v>3</v>
      </c>
      <c r="F105" s="20" t="s">
        <v>16</v>
      </c>
      <c r="G105" s="20" t="s">
        <v>195</v>
      </c>
      <c r="H105" s="20" t="s">
        <v>193</v>
      </c>
      <c r="I105" s="13" t="s">
        <v>86</v>
      </c>
      <c r="J105" s="20"/>
    </row>
    <row r="106" spans="1:10" ht="135" x14ac:dyDescent="0.25">
      <c r="A106" s="49" t="s">
        <v>196</v>
      </c>
      <c r="B106" s="24" t="s">
        <v>191</v>
      </c>
      <c r="C106" s="24" t="s">
        <v>191</v>
      </c>
      <c r="D106" s="50">
        <v>1531</v>
      </c>
      <c r="E106" s="51">
        <v>4</v>
      </c>
      <c r="F106" s="24" t="s">
        <v>16</v>
      </c>
      <c r="G106" s="24" t="s">
        <v>197</v>
      </c>
      <c r="H106" s="24" t="s">
        <v>198</v>
      </c>
      <c r="I106" s="16" t="s">
        <v>86</v>
      </c>
      <c r="J106" s="24"/>
    </row>
    <row r="107" spans="1:10" ht="30" x14ac:dyDescent="0.25">
      <c r="A107" s="52" t="s">
        <v>199</v>
      </c>
      <c r="B107" s="53" t="s">
        <v>191</v>
      </c>
      <c r="C107" s="53" t="s">
        <v>191</v>
      </c>
      <c r="D107" s="54">
        <v>777</v>
      </c>
      <c r="E107" s="55">
        <v>1</v>
      </c>
      <c r="F107" s="20" t="s">
        <v>16</v>
      </c>
      <c r="G107" s="20" t="s">
        <v>200</v>
      </c>
      <c r="H107" s="20" t="s">
        <v>201</v>
      </c>
      <c r="I107" s="20" t="s">
        <v>86</v>
      </c>
      <c r="J107" s="20"/>
    </row>
    <row r="108" spans="1:10" ht="75" x14ac:dyDescent="0.25">
      <c r="A108" s="49" t="s">
        <v>202</v>
      </c>
      <c r="B108" s="24" t="s">
        <v>191</v>
      </c>
      <c r="C108" s="24" t="s">
        <v>191</v>
      </c>
      <c r="D108" s="50">
        <v>508</v>
      </c>
      <c r="E108" s="51">
        <v>0</v>
      </c>
      <c r="F108" s="24" t="s">
        <v>38</v>
      </c>
      <c r="G108" s="24" t="s">
        <v>203</v>
      </c>
      <c r="H108" s="21" t="s">
        <v>201</v>
      </c>
      <c r="I108" s="24" t="s">
        <v>86</v>
      </c>
      <c r="J108" s="24"/>
    </row>
    <row r="109" spans="1:10" ht="30" x14ac:dyDescent="0.25">
      <c r="A109" s="52" t="s">
        <v>204</v>
      </c>
      <c r="B109" s="53" t="s">
        <v>191</v>
      </c>
      <c r="C109" s="53" t="s">
        <v>191</v>
      </c>
      <c r="D109" s="54">
        <v>515</v>
      </c>
      <c r="E109" s="55">
        <v>1</v>
      </c>
      <c r="F109" s="20" t="s">
        <v>16</v>
      </c>
      <c r="G109" s="20" t="s">
        <v>201</v>
      </c>
      <c r="H109" s="20" t="s">
        <v>201</v>
      </c>
      <c r="I109" s="20" t="s">
        <v>86</v>
      </c>
      <c r="J109" s="20"/>
    </row>
    <row r="110" spans="1:10" ht="90" x14ac:dyDescent="0.25">
      <c r="A110" s="56" t="s">
        <v>48</v>
      </c>
      <c r="B110" s="31" t="s">
        <v>191</v>
      </c>
      <c r="C110" s="31" t="s">
        <v>191</v>
      </c>
      <c r="D110" s="51">
        <v>187</v>
      </c>
      <c r="E110" s="51">
        <v>0</v>
      </c>
      <c r="F110" s="57" t="s">
        <v>48</v>
      </c>
      <c r="G110" s="44" t="s">
        <v>205</v>
      </c>
      <c r="H110" s="31"/>
      <c r="I110" s="24" t="s">
        <v>86</v>
      </c>
      <c r="J110" s="57"/>
    </row>
    <row r="111" spans="1:10" ht="45" x14ac:dyDescent="0.25">
      <c r="A111" s="52" t="s">
        <v>206</v>
      </c>
      <c r="B111" s="29" t="s">
        <v>191</v>
      </c>
      <c r="C111" s="29" t="s">
        <v>191</v>
      </c>
      <c r="D111" s="54">
        <v>13</v>
      </c>
      <c r="E111" s="55">
        <v>0</v>
      </c>
      <c r="F111" s="58" t="s">
        <v>38</v>
      </c>
      <c r="G111" s="19" t="s">
        <v>207</v>
      </c>
      <c r="H111" s="58" t="s">
        <v>193</v>
      </c>
      <c r="I111" s="20" t="s">
        <v>86</v>
      </c>
      <c r="J111" s="20"/>
    </row>
    <row r="112" spans="1:10" ht="90" x14ac:dyDescent="0.25">
      <c r="A112" s="49" t="s">
        <v>208</v>
      </c>
      <c r="B112" s="31" t="s">
        <v>191</v>
      </c>
      <c r="C112" s="31" t="s">
        <v>191</v>
      </c>
      <c r="D112" s="50">
        <v>8</v>
      </c>
      <c r="E112" s="51">
        <v>0</v>
      </c>
      <c r="F112" s="57" t="s">
        <v>38</v>
      </c>
      <c r="G112" s="44" t="s">
        <v>205</v>
      </c>
      <c r="H112" s="57" t="s">
        <v>193</v>
      </c>
      <c r="I112" s="24" t="s">
        <v>86</v>
      </c>
      <c r="J112" s="57"/>
    </row>
    <row r="113" spans="1:10" ht="30" x14ac:dyDescent="0.25">
      <c r="A113" s="52" t="s">
        <v>209</v>
      </c>
      <c r="B113" s="29" t="s">
        <v>191</v>
      </c>
      <c r="C113" s="29" t="s">
        <v>191</v>
      </c>
      <c r="D113" s="54">
        <v>170</v>
      </c>
      <c r="E113" s="55">
        <v>0</v>
      </c>
      <c r="F113" s="58" t="s">
        <v>38</v>
      </c>
      <c r="G113" s="58" t="s">
        <v>210</v>
      </c>
      <c r="H113" s="58"/>
      <c r="I113" s="20" t="s">
        <v>86</v>
      </c>
      <c r="J113" s="20"/>
    </row>
  </sheetData>
  <mergeCells count="3">
    <mergeCell ref="A1:J1"/>
    <mergeCell ref="A2:J2"/>
    <mergeCell ref="J67:J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Tart</dc:creator>
  <cp:lastModifiedBy>Casey Tart</cp:lastModifiedBy>
  <dcterms:created xsi:type="dcterms:W3CDTF">2026-04-04T14:52:18Z</dcterms:created>
  <dcterms:modified xsi:type="dcterms:W3CDTF">2026-04-04T14:53:34Z</dcterms:modified>
</cp:coreProperties>
</file>